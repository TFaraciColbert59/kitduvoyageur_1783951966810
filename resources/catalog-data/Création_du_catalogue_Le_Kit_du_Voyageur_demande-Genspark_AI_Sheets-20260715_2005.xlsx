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01-Vue d'ensemble" sheetId="1"/>
    <sheet r:id="rId2" name="02-Catégories" sheetId="2"/>
    <sheet r:id="rId3" name="03-Produits" sheetId="3"/>
    <sheet r:id="rId4" name="04-Consommables" sheetId="4"/>
    <sheet r:id="rId5" name="05-Marques" sheetId="5"/>
    <sheet r:id="rId6" name="06-Fournisseurs" sheetId="6"/>
    <sheet r:id="rId7" name="07-Compatibilités" sheetId="7"/>
    <sheet r:id="rId8" name="08-Substitutions" sheetId="8"/>
    <sheet r:id="rId9" name="09-Kits" sheetId="9"/>
    <sheet r:id="rId10" name="10-Conseils" sheetId="10"/>
    <sheet r:id="rId11" name="11-Sources" sheetId="11"/>
    <sheet r:id="rId12" name="12-Graphe Produits" sheetId="12"/>
    <sheet r:id="rId13" name="13-Moteur Recherche" sheetId="13"/>
  </sheets>
  <calcPr calcId="0" iterate="1" iterateCount="1000" iterateDelta="0.01"/>
</workbook>
</file>

<file path=xl/sharedStrings.xml><?xml version="1.0" encoding="utf-8"?>
<sst xmlns="http://schemas.openxmlformats.org/spreadsheetml/2006/main" count="2671" uniqueCount="2671">
  <si>
    <t>CATALOGUE DE RÉFÉRENCE - LE KIT DU VOYAGEUR</t>
  </si>
  <si>
    <t>Référentiel Produit Officiel | Version 2.0 | Juillet 2026</t>
  </si>
  <si>
    <t>PRÉSENTATION DU CATALOGUE</t>
  </si>
  <si>
    <t>Objectif</t>
  </si>
  <si>
    <t>Sélectionner les 80 meilleurs produits outdoor</t>
  </si>
  <si>
    <t>Philosophie</t>
  </si>
  <si>
    <t>Compromis qualité/prix/poids/durabilité</t>
  </si>
  <si>
    <t>Budget cible</t>
  </si>
  <si>
    <t>500 € - 1 000 € pour un kit complet</t>
  </si>
  <si>
    <t>Méthodologie</t>
  </si>
  <si>
    <t>Tests OutdoorGearLab, CleverHiker, Wirecutter</t>
  </si>
  <si>
    <t>STATISTIQUES CLÉS</t>
  </si>
  <si>
    <t>Indicateur</t>
  </si>
  <si>
    <t>Valeur</t>
  </si>
  <si>
    <t>Détails</t>
  </si>
  <si>
    <t>Nombre de produits</t>
  </si>
  <si>
    <t>Sélection rigoureuse</t>
  </si>
  <si>
    <t>Nombre de marques</t>
  </si>
  <si>
    <t>Mondiales et européennes</t>
  </si>
  <si>
    <t>Catégories</t>
  </si>
  <si>
    <t>Couverture complète</t>
  </si>
  <si>
    <t>Budget moyen</t>
  </si>
  <si>
    <t>750 €</t>
  </si>
  <si>
    <t>Kit trek complet</t>
  </si>
  <si>
    <t>Poids moyen</t>
  </si>
  <si>
    <t>8 kg</t>
  </si>
  <si>
    <t>Configuration standard</t>
  </si>
  <si>
    <t>RÉPARTITION PAR CATÉGORIES</t>
  </si>
  <si>
    <t>Catégorie</t>
  </si>
  <si>
    <t>Nb Produits</t>
  </si>
  <si>
    <t>Budget Moyen</t>
  </si>
  <si>
    <t>Poids Moyen</t>
  </si>
  <si>
    <t>Sacs &amp; Bagages</t>
  </si>
  <si>
    <t>120 €</t>
  </si>
  <si>
    <t>1.2 kg</t>
  </si>
  <si>
    <t>Abris (Tentes)</t>
  </si>
  <si>
    <t>380 €</t>
  </si>
  <si>
    <t>1.8 kg</t>
  </si>
  <si>
    <t>Couchage</t>
  </si>
  <si>
    <t>180 €</t>
  </si>
  <si>
    <t>1.1 kg</t>
  </si>
  <si>
    <t>Cuisine &amp; Réchauds</t>
  </si>
  <si>
    <t>85 €</t>
  </si>
  <si>
    <t>0.4 kg</t>
  </si>
  <si>
    <t>Hydratation</t>
  </si>
  <si>
    <t>55 €</t>
  </si>
  <si>
    <t>0.15 kg</t>
  </si>
  <si>
    <t>Éclairage</t>
  </si>
  <si>
    <t>60 €</t>
  </si>
  <si>
    <t>0.12 kg</t>
  </si>
  <si>
    <t>Vêtements</t>
  </si>
  <si>
    <t>150 €</t>
  </si>
  <si>
    <t>0.5 kg</t>
  </si>
  <si>
    <t>Chaussures</t>
  </si>
  <si>
    <t>0.9 kg</t>
  </si>
  <si>
    <t>Accessoires</t>
  </si>
  <si>
    <t>70 €</t>
  </si>
  <si>
    <t>0.3 kg</t>
  </si>
  <si>
    <t>Premiers Secours</t>
  </si>
  <si>
    <t>35 €</t>
  </si>
  <si>
    <t>0.2 kg</t>
  </si>
  <si>
    <t>MÉTRIQUES INTELLIGENTES v2.0</t>
  </si>
  <si>
    <t>Métrique</t>
  </si>
  <si>
    <t>Score KDV Moyen</t>
  </si>
  <si>
    <t>Qualité globale</t>
  </si>
  <si>
    <t>Indispensables</t>
  </si>
  <si>
    <t>Base du kit</t>
  </si>
  <si>
    <t>Recommandés</t>
  </si>
  <si>
    <t>Améliorations</t>
  </si>
  <si>
    <t>Confort</t>
  </si>
  <si>
    <t>Optionnel</t>
  </si>
  <si>
    <t>Luxe</t>
  </si>
  <si>
    <t>Haut de gamme</t>
  </si>
  <si>
    <t>Cabine ✓</t>
  </si>
  <si>
    <t>Vol compatible</t>
  </si>
  <si>
    <t>Polyvalence /10</t>
  </si>
  <si>
    <t>Multi-usage</t>
  </si>
  <si>
    <t>Réparabilité /10</t>
  </si>
  <si>
    <t>SAV &amp; pièces</t>
  </si>
  <si>
    <t>HIÉRARCHIE DES CATÉGORIES</t>
  </si>
  <si>
    <t>ID</t>
  </si>
  <si>
    <t>Sous-catégorie</t>
  </si>
  <si>
    <t>Description</t>
  </si>
  <si>
    <t>SACS &amp; BAGAGES</t>
  </si>
  <si>
    <t>Transport et organisation</t>
  </si>
  <si>
    <t>Sac à dos voyage (Cabine)</t>
  </si>
  <si>
    <t>35-45L, compatible avion</t>
  </si>
  <si>
    <t>Sac à dos randonnée</t>
  </si>
  <si>
    <t>50-70L, trek multi-jours</t>
  </si>
  <si>
    <t>Daypack</t>
  </si>
  <si>
    <t>15-25L, excursions journée</t>
  </si>
  <si>
    <t>Sac étanche / Dry bag</t>
  </si>
  <si>
    <t>Protection imperméable</t>
  </si>
  <si>
    <t>ABRIS</t>
  </si>
  <si>
    <t>Protection contre les éléments</t>
  </si>
  <si>
    <t>Tente ultralight 2P</t>
  </si>
  <si>
    <t>&lt; 2kg, 3 saisons</t>
  </si>
  <si>
    <t>Tente 3P</t>
  </si>
  <si>
    <t>Groupes / confort</t>
  </si>
  <si>
    <t>Bâche / Tarp</t>
  </si>
  <si>
    <t>Abri minimaliste</t>
  </si>
  <si>
    <t>Tente 4 saisons</t>
  </si>
  <si>
    <t>Alpinisme / hiver</t>
  </si>
  <si>
    <t>COUCHAGE</t>
  </si>
  <si>
    <t>Sommeil et isolation</t>
  </si>
  <si>
    <t>Sac de couchage 3 saisons</t>
  </si>
  <si>
    <t>0 à 10°C</t>
  </si>
  <si>
    <t>Sac de couchage ultralight</t>
  </si>
  <si>
    <t>Été / conditions douces</t>
  </si>
  <si>
    <t>Quilt</t>
  </si>
  <si>
    <t>Alternative légère</t>
  </si>
  <si>
    <t>Matelas gonflable</t>
  </si>
  <si>
    <t>Isolation et confort</t>
  </si>
  <si>
    <t>Oreiller compact</t>
  </si>
  <si>
    <t>Confort supplémentaire</t>
  </si>
  <si>
    <t>CUISINE &amp; RÉCHAUDS</t>
  </si>
  <si>
    <t>Préparation des repas</t>
  </si>
  <si>
    <t>Réchaud gaz</t>
  </si>
  <si>
    <t>Cartouche vissable</t>
  </si>
  <si>
    <t>Système intégré</t>
  </si>
  <si>
    <t>Type Jetboil</t>
  </si>
  <si>
    <t>Popote / Cookware</t>
  </si>
  <si>
    <t>Casseroles et ustensiles</t>
  </si>
  <si>
    <t>Couverts</t>
  </si>
  <si>
    <t>Spork, couteau, etc.</t>
  </si>
  <si>
    <t>HYDRATATION &amp; FILTRATION</t>
  </si>
  <si>
    <t>Eau potable</t>
  </si>
  <si>
    <t>Filtre à compression</t>
  </si>
  <si>
    <t>Squeeze filter</t>
  </si>
  <si>
    <t>Filtre à gravité</t>
  </si>
  <si>
    <t>Usage groupe</t>
  </si>
  <si>
    <t>Gourde / Poche à eau</t>
  </si>
  <si>
    <t>Transport de l'eau</t>
  </si>
  <si>
    <t>Pastilles / Traitement</t>
  </si>
  <si>
    <t>Désinfection chimique</t>
  </si>
  <si>
    <t>ÉCLAIRAGE &amp; ÉLECTRONIQUE</t>
  </si>
  <si>
    <t>Lumière et énergie</t>
  </si>
  <si>
    <t>Lampe frontale</t>
  </si>
  <si>
    <t>Éclairage mains libres</t>
  </si>
  <si>
    <t>Batterie externe</t>
  </si>
  <si>
    <t>Recharge USB</t>
  </si>
  <si>
    <t>Panneau solaire</t>
  </si>
  <si>
    <t>Autonomie prolongée</t>
  </si>
  <si>
    <t>VÊTEMENTS TECHNIQUES</t>
  </si>
  <si>
    <t>Protection météo</t>
  </si>
  <si>
    <t>Veste imperméable</t>
  </si>
  <si>
    <t>Pluie et vent</t>
  </si>
  <si>
    <t>Doudoune / Isolation</t>
  </si>
  <si>
    <t>Froid</t>
  </si>
  <si>
    <t>Base layer</t>
  </si>
  <si>
    <t>Sous-vêtements techniques</t>
  </si>
  <si>
    <t>Pantalon technique</t>
  </si>
  <si>
    <t>Randonnée</t>
  </si>
  <si>
    <t>CHAUSSURES</t>
  </si>
  <si>
    <t>Marche et protection</t>
  </si>
  <si>
    <t>Chaussures de randonnée</t>
  </si>
  <si>
    <t>Mid / High</t>
  </si>
  <si>
    <t>Trail running</t>
  </si>
  <si>
    <t>Légèreté</t>
  </si>
  <si>
    <t>Sandales</t>
  </si>
  <si>
    <t>Camp / Repos</t>
  </si>
  <si>
    <t>ACCESSOIRES &amp; OUTILS</t>
  </si>
  <si>
    <t>Équipement complémentaire</t>
  </si>
  <si>
    <t>Bâtons de marche</t>
  </si>
  <si>
    <t>Trekking poles</t>
  </si>
  <si>
    <t>Multitool</t>
  </si>
  <si>
    <t>Outil multifonction</t>
  </si>
  <si>
    <t>Sacs de rangement</t>
  </si>
  <si>
    <t>Organisation</t>
  </si>
  <si>
    <t>Boussole / Navigation</t>
  </si>
  <si>
    <t>Orientation</t>
  </si>
  <si>
    <t>PREMIERS SECOURS</t>
  </si>
  <si>
    <t>Sécurité et soins</t>
  </si>
  <si>
    <t>Kit premiers secours</t>
  </si>
  <si>
    <t>Trousse complète</t>
  </si>
  <si>
    <t>Couverture survie</t>
  </si>
  <si>
    <t>Urgence thermique</t>
  </si>
  <si>
    <t>Sifflet</t>
  </si>
  <si>
    <t>Signal d'urgence</t>
  </si>
  <si>
    <t>HYGIÈNE &amp; CONFORT</t>
  </si>
  <si>
    <t>Bien-être quotidien</t>
  </si>
  <si>
    <t>Serviette microfibre</t>
  </si>
  <si>
    <t>Séchage rapide</t>
  </si>
  <si>
    <t>Kit toilette</t>
  </si>
  <si>
    <t>Hygiène minimale</t>
  </si>
  <si>
    <t>CATALOGUE DES PRODUITS SÉLECTIONNÉS</t>
  </si>
  <si>
    <t>Nom</t>
  </si>
  <si>
    <t>Marque</t>
  </si>
  <si>
    <t>Modèle</t>
  </si>
  <si>
    <t>Prix (€)</t>
  </si>
  <si>
    <t>Poids (g)</t>
  </si>
  <si>
    <t>Dimensions</t>
  </si>
  <si>
    <t>Matériaux</t>
  </si>
  <si>
    <t>Garantie</t>
  </si>
  <si>
    <t>Pourquoi ce produit</t>
  </si>
  <si>
    <t>Avantages</t>
  </si>
  <si>
    <t>Inconvénients</t>
  </si>
  <si>
    <t>Alternative Premium</t>
  </si>
  <si>
    <t>Alternative Budget</t>
  </si>
  <si>
    <t>Dispo Europe</t>
  </si>
  <si>
    <t>Dispo USA</t>
  </si>
  <si>
    <t>Note Qualité /10</t>
  </si>
  <si>
    <t>Note Prix /10</t>
  </si>
  <si>
    <t>Note Durabilité /10</t>
  </si>
  <si>
    <t>Source</t>
  </si>
  <si>
    <t>Score KDV</t>
  </si>
  <si>
    <t>Essentialité</t>
  </si>
  <si>
    <t>Polyvalence</t>
  </si>
  <si>
    <t>Cabine</t>
  </si>
  <si>
    <t>Réparabilité</t>
  </si>
  <si>
    <t>Types Voyage</t>
  </si>
  <si>
    <t>Météo</t>
  </si>
  <si>
    <t>Justification IA</t>
  </si>
  <si>
    <t>P001</t>
  </si>
  <si>
    <t>Allpa 35L Travel Pack</t>
  </si>
  <si>
    <t>Cotopaxi</t>
  </si>
  <si>
    <t>Del Día</t>
  </si>
  <si>
    <t>Sac voyage cabine</t>
  </si>
  <si>
    <t>56x36x23 cm</t>
  </si>
  <si>
    <t>Nylon ripstop 840D</t>
  </si>
  <si>
    <t>À vie</t>
  </si>
  <si>
    <t>Meilleur compromis organisation/confort selon Wirecutter</t>
  </si>
  <si>
    <t>Clamshell, sangles sécurité, durable</t>
  </si>
  <si>
    <t>Pas de poche PC dédiée externe</t>
  </si>
  <si>
    <t>Peak Design 45L</t>
  </si>
  <si>
    <t>Osprey Fairview 40</t>
  </si>
  <si>
    <t>Oui</t>
  </si>
  <si>
    <t>Wirecutter 2026</t>
  </si>
  <si>
    <t>Indispensable</t>
  </si>
  <si>
    <t>✓</t>
  </si>
  <si>
    <t>Backpack, Nomad, Tour du monde</t>
  </si>
  <si>
    <t>Tempéré, Tropical</t>
  </si>
  <si>
    <t>Meilleur compromis organisation/poids. Garantie à vie, 100% compatible cabine, ouverture clamshell pratique.</t>
  </si>
  <si>
    <t>P002</t>
  </si>
  <si>
    <t>Farpoint 40</t>
  </si>
  <si>
    <t>Osprey</t>
  </si>
  <si>
    <t>Travel Pack</t>
  </si>
  <si>
    <t>54x35x23 cm</t>
  </si>
  <si>
    <t>Nylon 210D recyclé</t>
  </si>
  <si>
    <t>All Mighty (à vie)</t>
  </si>
  <si>
    <t>Excellent confort de portage longue durée</t>
  </si>
  <si>
    <t>Bretelles détachables, confort trek</t>
  </si>
  <si>
    <t>Forme arrondie limite volume</t>
  </si>
  <si>
    <t>Tortuga Pro 40L</t>
  </si>
  <si>
    <t>REI Ruckpack 40</t>
  </si>
  <si>
    <t>OutdoorGearLab</t>
  </si>
  <si>
    <t>Backpack, Trek, Tour du monde</t>
  </si>
  <si>
    <t>Tempéré, Tropical, Montagne</t>
  </si>
  <si>
    <t>Référence voyage. Bretelles détachables, confort trek exceptionnel, garantie All Mighty légendaire.</t>
  </si>
  <si>
    <t>P003</t>
  </si>
  <si>
    <t>Atmos AG LT 65</t>
  </si>
  <si>
    <t>65L</t>
  </si>
  <si>
    <t>Sac randonnée</t>
  </si>
  <si>
    <t>76x40x30 cm</t>
  </si>
  <si>
    <t>Nylon recyclé</t>
  </si>
  <si>
    <t>Meilleur sac randonnée selon OGL - dos suspendu</t>
  </si>
  <si>
    <t>Ventilation exceptionnelle, confort</t>
  </si>
  <si>
    <t>Prix élevé</t>
  </si>
  <si>
    <t>Gregory Baltoro 65</t>
  </si>
  <si>
    <t>REI Traverse 60</t>
  </si>
  <si>
    <t>Recommandé</t>
  </si>
  <si>
    <t>✗</t>
  </si>
  <si>
    <t>Trek, Vanlife</t>
  </si>
  <si>
    <t>Tempéré, Montagne</t>
  </si>
  <si>
    <t>Meilleur sac rando OGL. Système AG ventilation dorsale révolutionnaire, idéal treks multi-jours.</t>
  </si>
  <si>
    <t>P004</t>
  </si>
  <si>
    <t>Talon 22</t>
  </si>
  <si>
    <t>22L</t>
  </si>
  <si>
    <t>50x28x25 cm</t>
  </si>
  <si>
    <t>Nylon 100D</t>
  </si>
  <si>
    <t>Daypack le plus polyvalent du marché</t>
  </si>
  <si>
    <t>Léger, ventilé, poches pratiques</t>
  </si>
  <si>
    <t>Capacité limitée</t>
  </si>
  <si>
    <t>Gregory Miko 25</t>
  </si>
  <si>
    <t>REI Flash 22</t>
  </si>
  <si>
    <t>GearJunkie</t>
  </si>
  <si>
    <t>Trek, Backpack, Nomad, Famille</t>
  </si>
  <si>
    <t>Tous climats</t>
  </si>
  <si>
    <t>Daypack polyvalent par excellence. Léger, ventilé, garantie à vie, parfait excursions journée.</t>
  </si>
  <si>
    <t>P005</t>
  </si>
  <si>
    <t>Dry Bag</t>
  </si>
  <si>
    <t>Sea to Summit</t>
  </si>
  <si>
    <t>Ultra-Sil 20L</t>
  </si>
  <si>
    <t>Sac étanche</t>
  </si>
  <si>
    <t>Ø20x50 cm</t>
  </si>
  <si>
    <t>Silicone nylon 30D</t>
  </si>
  <si>
    <t>2 ans</t>
  </si>
  <si>
    <t>Reference ultralight des dry bags</t>
  </si>
  <si>
    <t>Ultra-léger, étanche, compressible</t>
  </si>
  <si>
    <t>Fragile sur abrasion</t>
  </si>
  <si>
    <t>Exped Fold 20L</t>
  </si>
  <si>
    <t>Osprey UL Dry 20L</t>
  </si>
  <si>
    <t>Switchback Travel</t>
  </si>
  <si>
    <t>Backpack, Trek, Kayak</t>
  </si>
  <si>
    <t>Humide, Tropical</t>
  </si>
  <si>
    <t>Référence ultraléger dry bags. Étanche fiable, ultra-compressible, indispensable climats humides.</t>
  </si>
  <si>
    <t>P006</t>
  </si>
  <si>
    <t>Copper Spur UL2</t>
  </si>
  <si>
    <t>Big Agnes</t>
  </si>
  <si>
    <t>UL2</t>
  </si>
  <si>
    <t>Abris</t>
  </si>
  <si>
    <t>221x127 cm sol</t>
  </si>
  <si>
    <t>Nylon Ripstop</t>
  </si>
  <si>
    <t>À vie limitée</t>
  </si>
  <si>
    <t>Meilleure tente ultralight selon OGL</t>
  </si>
  <si>
    <t>Ultra-légère, 2 portes, packable</t>
  </si>
  <si>
    <t>Prix élevé, tissu fin</t>
  </si>
  <si>
    <t>Nemo Hornet Elite</t>
  </si>
  <si>
    <t>REI Half Dome 2</t>
  </si>
  <si>
    <t>Trek, UL, Backpack</t>
  </si>
  <si>
    <t>Référence ultraléger 2P. Meilleur ratio poids/habitabilité, double abside, montage intuitif.</t>
  </si>
  <si>
    <t>P007</t>
  </si>
  <si>
    <t>X-Mid 2</t>
  </si>
  <si>
    <t>Durston</t>
  </si>
  <si>
    <t>2 Pro</t>
  </si>
  <si>
    <t>234x132 cm sol</t>
  </si>
  <si>
    <t>Silpoly/DCF</t>
  </si>
  <si>
    <t>1 an</t>
  </si>
  <si>
    <t>Meilleur rapport qualité/prix UL - trekking poles</t>
  </si>
  <si>
    <t>Très légère, spacieuse, prix abordable</t>
  </si>
  <si>
    <t>Nécessite bâtons de marche</t>
  </si>
  <si>
    <t>Zpacks Duplex</t>
  </si>
  <si>
    <t>Tarptent Rainbow</t>
  </si>
  <si>
    <t>Trek, UL, Alpinisme</t>
  </si>
  <si>
    <t>Montagne, Hiver</t>
  </si>
  <si>
    <t>Summum ultraléger haut de gamme. Dyneema, fabrication française, pour puristes du gramme.</t>
  </si>
  <si>
    <t>P008</t>
  </si>
  <si>
    <t>Hubba Hubba LT 2</t>
  </si>
  <si>
    <t>MSR</t>
  </si>
  <si>
    <t>LT</t>
  </si>
  <si>
    <t>213x127 cm sol</t>
  </si>
  <si>
    <t>Dyneema/Nylon</t>
  </si>
  <si>
    <t>3 ans</t>
  </si>
  <si>
    <t>Equilibre parfait légèreté/durabilité</t>
  </si>
  <si>
    <t>Autoportante, robuste, 2 absides</t>
  </si>
  <si>
    <t>Plus lourde que concurrence UL</t>
  </si>
  <si>
    <t>Big Agnes Copper Spur</t>
  </si>
  <si>
    <t>Naturehike Cloud Up</t>
  </si>
  <si>
    <t>REI Expert</t>
  </si>
  <si>
    <t>Trek, Backpack, Famille</t>
  </si>
  <si>
    <t>Tempéré, Montagne, Humide</t>
  </si>
  <si>
    <t>Valeur sûre polyvalente. Excellente résistance pluie, SAV MSR reconnu, bon compromis.</t>
  </si>
  <si>
    <t>P009</t>
  </si>
  <si>
    <t>Stormbreak 2</t>
  </si>
  <si>
    <t>The North Face</t>
  </si>
  <si>
    <t>Tente 3P budget</t>
  </si>
  <si>
    <t>224x132 cm sol</t>
  </si>
  <si>
    <t>Polyester 68D</t>
  </si>
  <si>
    <t>Meilleur rapport qualité/prix tentes</t>
  </si>
  <si>
    <t>Prix imbattable, durable, spacieuse</t>
  </si>
  <si>
    <t>Lourde, encombrante</t>
  </si>
  <si>
    <t>REI Half Dome 3</t>
  </si>
  <si>
    <t>Kelty Late Start 2</t>
  </si>
  <si>
    <t>Trek, UL</t>
  </si>
  <si>
    <t>Meilleur rapport qualité/prix UL. Nécessite bâtons, conception géométrique innovante.</t>
  </si>
  <si>
    <t>P010</t>
  </si>
  <si>
    <t>Half Dome 3</t>
  </si>
  <si>
    <t>REI Co-op</t>
  </si>
  <si>
    <t>3P</t>
  </si>
  <si>
    <t>234x183 cm sol</t>
  </si>
  <si>
    <t>Nylon ripstop</t>
  </si>
  <si>
    <t>1 an + satisfaction</t>
  </si>
  <si>
    <t>Vraie 3 places avec confort</t>
  </si>
  <si>
    <t>Très spacieuse, hauteur, ventilation</t>
  </si>
  <si>
    <t>Lourde, prix moyen</t>
  </si>
  <si>
    <t>MSR Habitude 4</t>
  </si>
  <si>
    <t>Coleman Sundome 3</t>
  </si>
  <si>
    <t>Europe via REI</t>
  </si>
  <si>
    <t>Trek, Budget, Famille</t>
  </si>
  <si>
    <t>Alternative budget crédible. Qualité surprenante pour le prix, idéal débutants.</t>
  </si>
  <si>
    <t>P011</t>
  </si>
  <si>
    <t>DuoMid</t>
  </si>
  <si>
    <t>Mountain Laurel Designs</t>
  </si>
  <si>
    <t>Silnylon</t>
  </si>
  <si>
    <t>279x173 cm</t>
  </si>
  <si>
    <t>Silnylon 0.9oz</t>
  </si>
  <si>
    <t>Meilleur abri minimaliste 4 saisons</t>
  </si>
  <si>
    <t>Ultra-léger, polyvalent, espace énorme</t>
  </si>
  <si>
    <t>Sans sol, condensation possible</t>
  </si>
  <si>
    <t>Zpacks Hexamid</t>
  </si>
  <si>
    <t>Six Moon Designs Lunar</t>
  </si>
  <si>
    <t>USA prioritaire</t>
  </si>
  <si>
    <t>Trek, Alpinisme, UL</t>
  </si>
  <si>
    <t>Référence duvet haut de gamme. Fabrication USA, 850+ cuin, durée de vie 20+ ans.</t>
  </si>
  <si>
    <t>P012</t>
  </si>
  <si>
    <t>Samaya 2.0 Dyneema</t>
  </si>
  <si>
    <t>Samaya</t>
  </si>
  <si>
    <t>220x110 cm sol</t>
  </si>
  <si>
    <t>Dyneema Nanovent</t>
  </si>
  <si>
    <t>Meilleure tente 4 saisons ultralight</t>
  </si>
  <si>
    <t>Résistance extrême, légère, respirante</t>
  </si>
  <si>
    <t>Très cher</t>
  </si>
  <si>
    <t>Hilleberg Nallo 2</t>
  </si>
  <si>
    <t>Big Agnes Copper Spur HV UL</t>
  </si>
  <si>
    <t>France/Europe</t>
  </si>
  <si>
    <t>Via import</t>
  </si>
  <si>
    <t>Trek, Backpack</t>
  </si>
  <si>
    <t>Montagne, Hiver, Tempéré</t>
  </si>
  <si>
    <t>Excellent rapport qualité/prix REI. Duvet 850 cuin responsable, polyvalent 3 saisons+.</t>
  </si>
  <si>
    <t>P013</t>
  </si>
  <si>
    <t>Anjan 2 GT</t>
  </si>
  <si>
    <t>Hilleberg</t>
  </si>
  <si>
    <t>2 GT</t>
  </si>
  <si>
    <t>220x140 cm sol</t>
  </si>
  <si>
    <t>Kerlon 1200</t>
  </si>
  <si>
    <t>Référence absolue résistance météo</t>
  </si>
  <si>
    <t>Indestructible, grande abside</t>
  </si>
  <si>
    <t>Lourde, très chère</t>
  </si>
  <si>
    <t>Hilleberg Nallo 3 GT</t>
  </si>
  <si>
    <t>MSR Access 2</t>
  </si>
  <si>
    <t>Ultra-compressible voyageurs légers. Idéal climats doux, tissu 10D fragile.</t>
  </si>
  <si>
    <t>P014</t>
  </si>
  <si>
    <t>MegaLite</t>
  </si>
  <si>
    <t>Western Mountaineering</t>
  </si>
  <si>
    <t>30°F</t>
  </si>
  <si>
    <t>185x80 cm</t>
  </si>
  <si>
    <t>Duvet oie 850+ FP</t>
  </si>
  <si>
    <t>Référence absolue rapport chaleur/poids</t>
  </si>
  <si>
    <t>Ultra-léger, ultra-chaud, qualité USA</t>
  </si>
  <si>
    <t>Prix très élevé</t>
  </si>
  <si>
    <t>Feathered Friends Swallow</t>
  </si>
  <si>
    <t>Kelty Cosmic 20</t>
  </si>
  <si>
    <t>Trek, Vanlife, Famille</t>
  </si>
  <si>
    <t>Système hybride couette/sac innovant. Liberté mouvement unique, modulaire.</t>
  </si>
  <si>
    <t>P015</t>
  </si>
  <si>
    <t>Magma 15</t>
  </si>
  <si>
    <t>15°F</t>
  </si>
  <si>
    <t>193x81 cm</t>
  </si>
  <si>
    <t>Duvet 850 FP</t>
  </si>
  <si>
    <t>Excellent rapport qualité/prix 3 saisons</t>
  </si>
  <si>
    <t>9 tailles, léger, chaud</t>
  </si>
  <si>
    <t>Zip poitrine parfois drafty</t>
  </si>
  <si>
    <t>Western Mtn Alpinlite</t>
  </si>
  <si>
    <t>Exped Terra 15</t>
  </si>
  <si>
    <t>Meilleur entrée de gamme. Duvet 550 cuin, parfait premier sac sérieux.</t>
  </si>
  <si>
    <t>P016</t>
  </si>
  <si>
    <t>Terra 15</t>
  </si>
  <si>
    <t>Exped</t>
  </si>
  <si>
    <t>195x85 cm</t>
  </si>
  <si>
    <t>Duvet 650 FP</t>
  </si>
  <si>
    <t>5 ans</t>
  </si>
  <si>
    <t>Meilleur rapport qualité/prix duvet milieu gamme</t>
  </si>
  <si>
    <t>Prix abordable, chaud, poche rangement</t>
  </si>
  <si>
    <t>Plus lourd, duvet mid-tier</t>
  </si>
  <si>
    <t>REI Magma 15</t>
  </si>
  <si>
    <t>Référence matelas UL 3 saisons. R-value 4.5, compacité imbattable, confort prouvé.</t>
  </si>
  <si>
    <t>P017</t>
  </si>
  <si>
    <t>Spark 30</t>
  </si>
  <si>
    <t>185x75 cm</t>
  </si>
  <si>
    <t>Duvet 850+ FP Ultra-Dry</t>
  </si>
  <si>
    <t>Le plus léger et compressible du marché</t>
  </si>
  <si>
    <t>Ultra-packable, qualité premium</t>
  </si>
  <si>
    <t>Fragile, cher</t>
  </si>
  <si>
    <t>Feathered Friends Tanager</t>
  </si>
  <si>
    <t>Kelty Cosmic 35</t>
  </si>
  <si>
    <t>Tempéré, Montagne, Hiver</t>
  </si>
  <si>
    <t>Polyvalent 4 saisons. R-value 5.4, plus silencieux, valve multifonction.</t>
  </si>
  <si>
    <t>P018</t>
  </si>
  <si>
    <t>Ghost Pepper 20</t>
  </si>
  <si>
    <t>Loco Libre</t>
  </si>
  <si>
    <t>Operator Series</t>
  </si>
  <si>
    <t>195x135 cm</t>
  </si>
  <si>
    <t>Duvet 950 FP</t>
  </si>
  <si>
    <t>Quilt hybride le plus polyvalent</t>
  </si>
  <si>
    <t>Convertible sac/quilt, ultra-chaud</t>
  </si>
  <si>
    <t>Cottage brand, délai commande</t>
  </si>
  <si>
    <t>Katabatic Palisade</t>
  </si>
  <si>
    <t>Enlightened Equipment Enigma</t>
  </si>
  <si>
    <t>USA import</t>
  </si>
  <si>
    <t>CleverHiker</t>
  </si>
  <si>
    <t>Tempéré</t>
  </si>
  <si>
    <t>Ultraléger minimaliste Exped. Pump intégré, marque suisse fiable.</t>
  </si>
  <si>
    <t>P019</t>
  </si>
  <si>
    <t>Enigma 20</t>
  </si>
  <si>
    <t>Enlightened Equipment</t>
  </si>
  <si>
    <t>20°F</t>
  </si>
  <si>
    <t>183x137 cm</t>
  </si>
  <si>
    <t>Référence quilts ultralight customisables</t>
  </si>
  <si>
    <t>Sur-mesure, léger, prix raisonnable</t>
  </si>
  <si>
    <t>Délai fabrication, cottage brand</t>
  </si>
  <si>
    <t>Nunatak Arc UL</t>
  </si>
  <si>
    <t>UGQ Bandit</t>
  </si>
  <si>
    <t>Excellent rapport qualité/prix débutant. V-chambers confortable, climats doux.</t>
  </si>
  <si>
    <t>P020</t>
  </si>
  <si>
    <t>Tensor All-Season UL Insulated</t>
  </si>
  <si>
    <t>Nemo</t>
  </si>
  <si>
    <t>Regular Wide</t>
  </si>
  <si>
    <t>183x64 cm</t>
  </si>
  <si>
    <t>TPU laminé 20D</t>
  </si>
  <si>
    <t>Meilleur matelas all-around selon OGL</t>
  </si>
  <si>
    <t>Confort, R-value 5.4, silencieux</t>
  </si>
  <si>
    <t>Difficile à ranger dans sac</t>
  </si>
  <si>
    <t>Therm-a-Rest NeoAir XTherm</t>
  </si>
  <si>
    <t>Klymit Static V</t>
  </si>
  <si>
    <t>Trek, Backpack, Vanlife, Nomad</t>
  </si>
  <si>
    <t>Système intégré le plus polyvalent. Régulation simmer, efficace par grand froid.</t>
  </si>
  <si>
    <t>P021</t>
  </si>
  <si>
    <t>NeoAir XLite NXT</t>
  </si>
  <si>
    <t>Therm-a-Rest</t>
  </si>
  <si>
    <t>Regular</t>
  </si>
  <si>
    <t>183x51 cm</t>
  </si>
  <si>
    <t>Nylon 30D</t>
  </si>
  <si>
    <t>Référence ultralight thru-hikers</t>
  </si>
  <si>
    <t>Ultra-léger, R-value 4.5, packable</t>
  </si>
  <si>
    <t>Crinkly, étroit</t>
  </si>
  <si>
    <t>Nemo Tensor Elite</t>
  </si>
  <si>
    <t>Exped Ultra 5R</t>
  </si>
  <si>
    <t>Référence matelas UL 3 saisons. Compacité et légèreté imbattables, R-value 4.5 polyvalente.</t>
  </si>
  <si>
    <t>P022</t>
  </si>
  <si>
    <t>Static V</t>
  </si>
  <si>
    <t>Klymit</t>
  </si>
  <si>
    <t>Base</t>
  </si>
  <si>
    <t>183x58 cm</t>
  </si>
  <si>
    <t>Polyester 75D</t>
  </si>
  <si>
    <t>Meilleur rapport qualité/prix matelas</t>
  </si>
  <si>
    <t>Prix imbattable, large, léger</t>
  </si>
  <si>
    <t>R-value faible 1.5, été only</t>
  </si>
  <si>
    <t>Nemo Tensor Extreme</t>
  </si>
  <si>
    <t>Exped Versa</t>
  </si>
  <si>
    <t>Excellent rapport qualité/prix. Design V-chambers confortable, idéal débutants climats doux.</t>
  </si>
  <si>
    <t>P023</t>
  </si>
  <si>
    <t>Fillo Elite</t>
  </si>
  <si>
    <t>Ultralight</t>
  </si>
  <si>
    <t>40x28x10 cm</t>
  </si>
  <si>
    <t>TPU/mousse</t>
  </si>
  <si>
    <t>Meilleur oreiller ultralight</t>
  </si>
  <si>
    <t>Ultra-léger, confortable, compact</t>
  </si>
  <si>
    <t>Prix élevé pour oreiller</t>
  </si>
  <si>
    <t>Sea to Summit Aeros UL</t>
  </si>
  <si>
    <t>Trekology ALUFT</t>
  </si>
  <si>
    <t>Trek, Backpack, Nomad</t>
  </si>
  <si>
    <t>Meilleur oreiller compact. Mousse mémoire + gonflable, améliore nettement qualité sommeil.</t>
  </si>
  <si>
    <t>P024</t>
  </si>
  <si>
    <t>WindMaster</t>
  </si>
  <si>
    <t>Soto</t>
  </si>
  <si>
    <t>avec 4Flex</t>
  </si>
  <si>
    <t>Ø9x10 cm</t>
  </si>
  <si>
    <t>Aluminium/Inox</t>
  </si>
  <si>
    <t>Meilleur réchaud overall selon OGL</t>
  </si>
  <si>
    <t>Résistant vent, simmer parfait, léger</t>
  </si>
  <si>
    <t>Supports amovibles</t>
  </si>
  <si>
    <t>MSR PocketRocket Deluxe</t>
  </si>
  <si>
    <t>Soto Amicus</t>
  </si>
  <si>
    <t>Trek, Backpack, Alpinisme, UL</t>
  </si>
  <si>
    <t>Meilleur réchaud polyvalent selon OGL. Performance vent exceptionnelle, léger, fiable.</t>
  </si>
  <si>
    <t>P025</t>
  </si>
  <si>
    <t>Amicus</t>
  </si>
  <si>
    <t>avec Ignitor</t>
  </si>
  <si>
    <t>Ø7.6x8 cm</t>
  </si>
  <si>
    <t>Aluminium</t>
  </si>
  <si>
    <t>Meilleur rapport qualité/prix réchauds</t>
  </si>
  <si>
    <t>Léger, bon simmer, prix abordable</t>
  </si>
  <si>
    <t>Moins stable grands pots</t>
  </si>
  <si>
    <t>Soto WindMaster</t>
  </si>
  <si>
    <t>BRS-3000T</t>
  </si>
  <si>
    <t>Trek, Backpack, Budget</t>
  </si>
  <si>
    <t>Excellent rapport qualité/prix Soto. Plus abordable que WindMaster, performances proches.</t>
  </si>
  <si>
    <t>P026</t>
  </si>
  <si>
    <t>BRS</t>
  </si>
  <si>
    <t>Ø5x4 cm</t>
  </si>
  <si>
    <t>Titane</t>
  </si>
  <si>
    <t>Le plus léger et moins cher du marché</t>
  </si>
  <si>
    <t>Ultra-compact, prix dérisoire</t>
  </si>
  <si>
    <t>Instable, pas de simmer, fragile</t>
  </si>
  <si>
    <t>Fire-Maple FMS-300T</t>
  </si>
  <si>
    <t>Via Amazon</t>
  </si>
  <si>
    <t>Reddit r/Ultralight</t>
  </si>
  <si>
    <t>UL, Budget</t>
  </si>
  <si>
    <t>Le plus léger du marché. 25g seulement, backup idéal, mais fragile et limité par vent.</t>
  </si>
  <si>
    <t>P027</t>
  </si>
  <si>
    <t>MiniMo</t>
  </si>
  <si>
    <t>Jetboil</t>
  </si>
  <si>
    <t>Ø10.5x15 cm</t>
  </si>
  <si>
    <t>Aluminium FluxRing</t>
  </si>
  <si>
    <t>Meilleur système intégré polyvalent</t>
  </si>
  <si>
    <t>Peut cuisiner vrais repas, efficace</t>
  </si>
  <si>
    <t>Lourd, cher</t>
  </si>
  <si>
    <t>MSR Reactor</t>
  </si>
  <si>
    <t>Jetboil Zip</t>
  </si>
  <si>
    <t>Système intégré le plus polyvalent. Régulation simmer, compatible popotes, efficace froid.</t>
  </si>
  <si>
    <t>P028</t>
  </si>
  <si>
    <t>Stash</t>
  </si>
  <si>
    <t>0.8L</t>
  </si>
  <si>
    <t>Ø10x12 cm</t>
  </si>
  <si>
    <t>Aluminium HeatEx</t>
  </si>
  <si>
    <t>Système intégré le plus léger</t>
  </si>
  <si>
    <t>Ultra-efficace, packable dans pot</t>
  </si>
  <si>
    <t>Simmer difficile, small</t>
  </si>
  <si>
    <t>MSR WindBurner</t>
  </si>
  <si>
    <t>Fire-Maple Fixed Star</t>
  </si>
  <si>
    <t>Système intégré ultraléger. 200g, efficacité Jetboil, compromis poids/performance optimal.</t>
  </si>
  <si>
    <t>P029</t>
  </si>
  <si>
    <t>Pinnacle Dualist HS</t>
  </si>
  <si>
    <t>GSI Outdoors</t>
  </si>
  <si>
    <t>1.8L</t>
  </si>
  <si>
    <t>Ø18x14 cm</t>
  </si>
  <si>
    <t>Alu anodisé dur</t>
  </si>
  <si>
    <t>Meilleur set cuisine 2 personnes</t>
  </si>
  <si>
    <t>Efficacité thermique top, non-stick</t>
  </si>
  <si>
    <t>Pas de poêle incluse</t>
  </si>
  <si>
    <t>MSR Quick 2 System</t>
  </si>
  <si>
    <t>TOAKS Titanium 1100ml</t>
  </si>
  <si>
    <t>Meilleur set 2 personnes. Revêtement anti-adhésif, compact, système ingénieux.</t>
  </si>
  <si>
    <t>P030</t>
  </si>
  <si>
    <t>Ti-Mini Solo Combo</t>
  </si>
  <si>
    <t>Snow Peak</t>
  </si>
  <si>
    <t>Ø10x9 cm</t>
  </si>
  <si>
    <t>Référence ultralight solo</t>
  </si>
  <si>
    <t>Ultra-léger, durable, compact</t>
  </si>
  <si>
    <t>Petit volume, pas de coating</t>
  </si>
  <si>
    <t>TOAKS Ti 750ml</t>
  </si>
  <si>
    <t>EVERNEW Ti Cup</t>
  </si>
  <si>
    <t>Référence titane japonais. Indestructible, ultraléger, mais cher. Pour puristes.</t>
  </si>
  <si>
    <t>P031</t>
  </si>
  <si>
    <t>Fusion Ceramic 2-Pot</t>
  </si>
  <si>
    <t>Ceramic</t>
  </si>
  <si>
    <t>2.5L + 1.5L</t>
  </si>
  <si>
    <t>Alu ceramic coating</t>
  </si>
  <si>
    <t>Meilleur set non-stick léger</t>
  </si>
  <si>
    <t>Céramique non-toxique, versatile</t>
  </si>
  <si>
    <t>Pas d'accessoires</t>
  </si>
  <si>
    <t>GSI Pinnacle Camper</t>
  </si>
  <si>
    <t>Odoland Camping Set</t>
  </si>
  <si>
    <t>Revêtement céramique durable. Cuisson uniforme, facile à nettoyer, robuste.</t>
  </si>
  <si>
    <t>P032</t>
  </si>
  <si>
    <t>Alpha Light Spork</t>
  </si>
  <si>
    <t>Long</t>
  </si>
  <si>
    <t>22 cm</t>
  </si>
  <si>
    <t>Aluminium anodisé</t>
  </si>
  <si>
    <t>Spork ultralight de référence</t>
  </si>
  <si>
    <t>Ultra-léger, forme ergonomique</t>
  </si>
  <si>
    <t>Conduit chaleur</t>
  </si>
  <si>
    <t>Toaks Titanium Spork</t>
  </si>
  <si>
    <t>Light My Fire Spork</t>
  </si>
  <si>
    <t>Trek, Backpack, Nomad, Voyage</t>
  </si>
  <si>
    <t>Couvert ultime minimaliste. Aluminium anodisé, polyvalent, quasi-indestructible.</t>
  </si>
  <si>
    <t>P033</t>
  </si>
  <si>
    <t>Folding Knife</t>
  </si>
  <si>
    <t>Opinel</t>
  </si>
  <si>
    <t>N°8 Inox</t>
  </si>
  <si>
    <t>19.5 cm déplié</t>
  </si>
  <si>
    <t>Inox/Bois hêtre</t>
  </si>
  <si>
    <t>Couteau pliant légendaire qualité/prix</t>
  </si>
  <si>
    <t>Lame excellente, tradition, prix</t>
  </si>
  <si>
    <t>Pas de blocage sécurisé</t>
  </si>
  <si>
    <t>Victorinox Spartan</t>
  </si>
  <si>
    <t>Morakniv Companion</t>
  </si>
  <si>
    <t>⚠</t>
  </si>
  <si>
    <t>Trek, Backpack, Vanlife, Voyage</t>
  </si>
  <si>
    <t>Icône française réparable à vie. Lame inox Sandvik, manche hêtre, pièces disponibles 50+ ans.</t>
  </si>
  <si>
    <t>P034</t>
  </si>
  <si>
    <t>Peak Squeeze 1L</t>
  </si>
  <si>
    <t>LifeStraw</t>
  </si>
  <si>
    <t>1L</t>
  </si>
  <si>
    <t>Hydratation &amp; Filtration</t>
  </si>
  <si>
    <t>Ø5x15 cm</t>
  </si>
  <si>
    <t>Membrane 0.2μm</t>
  </si>
  <si>
    <t>5 ans / 2000L</t>
  </si>
  <si>
    <t>Meilleur filtre squeeze selon OGL</t>
  </si>
  <si>
    <t>Léger, durable, versatile</t>
  </si>
  <si>
    <t>Maintenance microfiltre</t>
  </si>
  <si>
    <t>Sawyer Squeeze</t>
  </si>
  <si>
    <t>Katadyn BeFree</t>
  </si>
  <si>
    <t>Trek, Backpack, Voyage</t>
  </si>
  <si>
    <t>Meilleur filtre squeeze 2024. Débit rapide, compact, fiable, excellente ergonomie.</t>
  </si>
  <si>
    <t>P035</t>
  </si>
  <si>
    <t>Squeeze</t>
  </si>
  <si>
    <t>Sawyer</t>
  </si>
  <si>
    <t>SP131</t>
  </si>
  <si>
    <t>Ø6x16 cm</t>
  </si>
  <si>
    <t>Fibre creuse 0.1μm</t>
  </si>
  <si>
    <t>À vie / 378,000L</t>
  </si>
  <si>
    <t>Durée de vie quasi illimitée</t>
  </si>
  <si>
    <t>Garantie à vie, débit rapide</t>
  </si>
  <si>
    <t>Plusieurs petites pièces</t>
  </si>
  <si>
    <t>MSR Guardian</t>
  </si>
  <si>
    <t>LifeStraw Peak</t>
  </si>
  <si>
    <t>Trek, Backpack, Voyage, Budget</t>
  </si>
  <si>
    <t>Référence filtration terrain. Garantie 10 ans, rétro-lavable, compatibilité universelle.</t>
  </si>
  <si>
    <t>P036</t>
  </si>
  <si>
    <t>BeFree</t>
  </si>
  <si>
    <t>Katadyn</t>
  </si>
  <si>
    <t>Ø5x13 cm</t>
  </si>
  <si>
    <t>EZ-Clean membrane</t>
  </si>
  <si>
    <t>3 ans / 1000L</t>
  </si>
  <si>
    <t>Le plus léger des filtres squeeze</t>
  </si>
  <si>
    <t>Ultra-léger, débit rapide</t>
  </si>
  <si>
    <t>Durabilité limitée</t>
  </si>
  <si>
    <t>Hydrapak Flux</t>
  </si>
  <si>
    <t>LifeStraw Go</t>
  </si>
  <si>
    <t>Trek, UL, Trail</t>
  </si>
  <si>
    <t>Le plus rapide pour trail. Débit imbattable, ultra-léger, mais poche fragile.</t>
  </si>
  <si>
    <t>P037</t>
  </si>
  <si>
    <t>GravityWorks 4L</t>
  </si>
  <si>
    <t>Platypus</t>
  </si>
  <si>
    <t>4L System</t>
  </si>
  <si>
    <t>4L dirty + 4L clean</t>
  </si>
  <si>
    <t>Fibre creuse 0.2μm</t>
  </si>
  <si>
    <t>3 ans / 1500L</t>
  </si>
  <si>
    <t>Meilleur filtre gravité groupes</t>
  </si>
  <si>
    <t>Hands-free, rapide, groupe</t>
  </si>
  <si>
    <t>Collecte eau peu profonde</t>
  </si>
  <si>
    <t>MSR AutoFlow XL</t>
  </si>
  <si>
    <t>LifeStraw Peak Gravity</t>
  </si>
  <si>
    <t>Trek, Famille, Vanlife</t>
  </si>
  <si>
    <t>Meilleur système groupe. 4L filtré sans effort, idéal camps base et familles.</t>
  </si>
  <si>
    <t>P038</t>
  </si>
  <si>
    <t>Peak Gravity 3L</t>
  </si>
  <si>
    <t>3L</t>
  </si>
  <si>
    <t>3L sac</t>
  </si>
  <si>
    <t>Excellent rapport qualité/prix gravité</t>
  </si>
  <si>
    <t>Léger, débit rapide, durable</t>
  </si>
  <si>
    <t>Remplissage eau peu profonde</t>
  </si>
  <si>
    <t>Platypus GravityWorks</t>
  </si>
  <si>
    <t>Sawyer Gravity System</t>
  </si>
  <si>
    <t>Trek, Famille</t>
  </si>
  <si>
    <t>Alternative gravité compacte. Plus léger que Platypus, bon compromis solo/duo.</t>
  </si>
  <si>
    <t>P039</t>
  </si>
  <si>
    <t>Soft Flask 500ml</t>
  </si>
  <si>
    <t>Salomon</t>
  </si>
  <si>
    <t>Speed 500</t>
  </si>
  <si>
    <t>500ml</t>
  </si>
  <si>
    <t>TPU sans BPA</t>
  </si>
  <si>
    <t>Référence gourdes souples trail</t>
  </si>
  <si>
    <t>Ultra-légère, compressible</t>
  </si>
  <si>
    <t>Durée vie limitée</t>
  </si>
  <si>
    <t>HydraPak SoftFlask</t>
  </si>
  <si>
    <t>Decathlon Evadict 500</t>
  </si>
  <si>
    <t>Trail Running</t>
  </si>
  <si>
    <t>Trail, Trek, UL</t>
  </si>
  <si>
    <t>Standard trail running. Compressible, valve efficace, légère mais durabilité limitée.</t>
  </si>
  <si>
    <t>P040</t>
  </si>
  <si>
    <t>Straw 750ml</t>
  </si>
  <si>
    <t>Nalgene</t>
  </si>
  <si>
    <t>Wide Mouth</t>
  </si>
  <si>
    <t>750ml</t>
  </si>
  <si>
    <t>Tritan sans BPA</t>
  </si>
  <si>
    <t>Gourde indestructible référence</t>
  </si>
  <si>
    <t>Incassable, graduation, économique</t>
  </si>
  <si>
    <t>Lourde, rigide</t>
  </si>
  <si>
    <t>Hydro Flask 32oz</t>
  </si>
  <si>
    <t>Decathlon Quechua 1L</t>
  </si>
  <si>
    <t>Trek, Backpack, Voyage, Famille</t>
  </si>
  <si>
    <t>Indestructible et universelle. Tritan BPA-free, compatible filtres, garantie à vie.</t>
  </si>
  <si>
    <t>P041</t>
  </si>
  <si>
    <t>Micropur Classic</t>
  </si>
  <si>
    <t>100 tablettes</t>
  </si>
  <si>
    <t>100 tabs</t>
  </si>
  <si>
    <t>Dichloroisocyanurate</t>
  </si>
  <si>
    <t>Traitement chimique de référence</t>
  </si>
  <si>
    <t>Léger, longue conservation, fiable</t>
  </si>
  <si>
    <t>Goût chlore, 30min attente</t>
  </si>
  <si>
    <t>Aquamira Drops</t>
  </si>
  <si>
    <t>Potable Aqua</t>
  </si>
  <si>
    <t>Trek, Backpack, Voyage, Urgence</t>
  </si>
  <si>
    <t>Backup filtration essentiel. Léger, longue conservation 5 ans, élimine virus. Complément idéal filtres.</t>
  </si>
  <si>
    <t>P042</t>
  </si>
  <si>
    <t>Spot 400-R</t>
  </si>
  <si>
    <t>Black Diamond</t>
  </si>
  <si>
    <t>Rechargeable</t>
  </si>
  <si>
    <t>Éclairage &amp; Électronique</t>
  </si>
  <si>
    <t>LED + batterie Li-ion</t>
  </si>
  <si>
    <t>Meilleure frontale overall selon CleverHiker</t>
  </si>
  <si>
    <t>Polyvalente, 225h autonomie low</t>
  </si>
  <si>
    <t>Élastique s'étire, lumière harsh</t>
  </si>
  <si>
    <t>Petzl Actik CORE</t>
  </si>
  <si>
    <t>Black Diamond Spot 400</t>
  </si>
  <si>
    <t>Meilleure frontale polyvalente CleverHiker. Rechargeable, 225h autonomie, équilibre parfait.</t>
  </si>
  <si>
    <t>P043</t>
  </si>
  <si>
    <t>Actik CORE</t>
  </si>
  <si>
    <t>Petzl</t>
  </si>
  <si>
    <t>600 lumens</t>
  </si>
  <si>
    <t>Ø6x4 cm</t>
  </si>
  <si>
    <t>LED CORE rechargeable</t>
  </si>
  <si>
    <t>Frontale premium la plus complète</t>
  </si>
  <si>
    <t>Brillante, intuitive, phosphorescente</t>
  </si>
  <si>
    <t>Chère, pas full waterproof</t>
  </si>
  <si>
    <t>Ledlenser HF6R</t>
  </si>
  <si>
    <t>Petzl Tikkina</t>
  </si>
  <si>
    <t>Trek, Alpinisme, Trail</t>
  </si>
  <si>
    <t>Frontale premium complète. 600 lumens, phosphorescente, SAV Petzl excellent, garantie 5 ans.</t>
  </si>
  <si>
    <t>P044</t>
  </si>
  <si>
    <t>NU25 UL</t>
  </si>
  <si>
    <t>Nitecore</t>
  </si>
  <si>
    <t>400 lumens</t>
  </si>
  <si>
    <t>Ø4x2 cm</t>
  </si>
  <si>
    <t>LED USB-C</t>
  </si>
  <si>
    <t>Frontale ultralight de référence</t>
  </si>
  <si>
    <t>Ultra-légère, pas chère, USB-C</t>
  </si>
  <si>
    <t>Fragile, rouge trop bright</t>
  </si>
  <si>
    <t>Petzl Bindi</t>
  </si>
  <si>
    <t>BioLite 200</t>
  </si>
  <si>
    <t>Référence ultraléger 45g. Prix imbattable, USB-C, idéal minimalistes mais fragile.</t>
  </si>
  <si>
    <t>P045</t>
  </si>
  <si>
    <t>Tikkina</t>
  </si>
  <si>
    <t>300 lumens</t>
  </si>
  <si>
    <t>LED 3xAAA</t>
  </si>
  <si>
    <t>Meilleur rapport qualité/prix frontales</t>
  </si>
  <si>
    <t>Simple, fiable, prix imbattable</t>
  </si>
  <si>
    <t>Pas de mode rouge, pas lock</t>
  </si>
  <si>
    <t>Petzl Actik</t>
  </si>
  <si>
    <t>Energizer Vision HD</t>
  </si>
  <si>
    <t>Trek, Famille, Budget, Voyage</t>
  </si>
  <si>
    <t>Meilleur rapport qualité/prix. Simple, fiable, garantie Petzl 5 ans, parfait usage occasionnel.</t>
  </si>
  <si>
    <t>P046</t>
  </si>
  <si>
    <t>PowerCore 10000</t>
  </si>
  <si>
    <t>Anker</t>
  </si>
  <si>
    <t>PD Redux</t>
  </si>
  <si>
    <t>10.6x5.2x2.5 cm</t>
  </si>
  <si>
    <t>Li-Polymer</t>
  </si>
  <si>
    <t>18 mois</t>
  </si>
  <si>
    <t>Référence batteries compactes</t>
  </si>
  <si>
    <t>Compact, USB-C PD, fiable</t>
  </si>
  <si>
    <t>Pas de charge sans fil</t>
  </si>
  <si>
    <t>Nitecore NB10000</t>
  </si>
  <si>
    <t>Xiaomi Mi 10000</t>
  </si>
  <si>
    <t>Wirecutter</t>
  </si>
  <si>
    <t>Nomad, Backpack, Voyage, Famille</t>
  </si>
  <si>
    <t>Référence batteries compactes Wirecutter. USB-C PD, fiabilité prouvée, rapport capacité/poids optimal.</t>
  </si>
  <si>
    <t>P047</t>
  </si>
  <si>
    <t>NB10000</t>
  </si>
  <si>
    <t>Gen 2</t>
  </si>
  <si>
    <t>9.5x5x2 cm</t>
  </si>
  <si>
    <t>Li-Polymer carbone</t>
  </si>
  <si>
    <t>Batterie ultralight outdoor de référence</t>
  </si>
  <si>
    <t>Ultra-légère, robuste, USB-C</t>
  </si>
  <si>
    <t>Prix premium</t>
  </si>
  <si>
    <t>Goal Zero Flip 24</t>
  </si>
  <si>
    <t>Anker PowerCore Slim</t>
  </si>
  <si>
    <t>Batterie outdoor ultraléger 150g. Coque carbone, conçue pour conditions difficiles.</t>
  </si>
  <si>
    <t>P048</t>
  </si>
  <si>
    <t>Nomad 10</t>
  </si>
  <si>
    <t>Goal Zero</t>
  </si>
  <si>
    <t>Panel</t>
  </si>
  <si>
    <t>24x19x2 cm</t>
  </si>
  <si>
    <t>Monocristallin 10W</t>
  </si>
  <si>
    <t>Panneau solaire compact efficace</t>
  </si>
  <si>
    <t>Pliable, USB direct, kickstand</t>
  </si>
  <si>
    <t>Lent par temps couvert</t>
  </si>
  <si>
    <t>BioLite SolarPanel 10+</t>
  </si>
  <si>
    <t>Anker PowerPort Solar</t>
  </si>
  <si>
    <t>Trek, Vanlife, Nomad</t>
  </si>
  <si>
    <t>Tropical, Désert, Tempéré</t>
  </si>
  <si>
    <t>Panneau compact efficace. USB direct, pliable, kickstand intégré, bon pour recharges d'appoint.</t>
  </si>
  <si>
    <t>P049</t>
  </si>
  <si>
    <t>Boulder 50</t>
  </si>
  <si>
    <t>Briefcase</t>
  </si>
  <si>
    <t>66x43x4 cm</t>
  </si>
  <si>
    <t>Monocristallin 50W</t>
  </si>
  <si>
    <t>Meilleur panneau haute puissance portable</t>
  </si>
  <si>
    <t>Puissant, pliable, robuste</t>
  </si>
  <si>
    <t>Lourd, encombrant</t>
  </si>
  <si>
    <t>Jackery SolarSaga 100</t>
  </si>
  <si>
    <t>Renogy 50W</t>
  </si>
  <si>
    <t>Vanlife, Base camp</t>
  </si>
  <si>
    <t>Tropical, Désert</t>
  </si>
  <si>
    <t>Puissance maximale portable 50W. Idéal vanlife/base camp, trop lourd pour randonnée.</t>
  </si>
  <si>
    <t>P050</t>
  </si>
  <si>
    <t>Torrentshell 3L</t>
  </si>
  <si>
    <t>Patagonia</t>
  </si>
  <si>
    <t>H2No</t>
  </si>
  <si>
    <t>Vêtements Techniques</t>
  </si>
  <si>
    <t>Taille M</t>
  </si>
  <si>
    <t>Nylon 3L H2No</t>
  </si>
  <si>
    <t>Ironclad (à vie)</t>
  </si>
  <si>
    <t>Meilleure veste pluie rapport qualité/prix selon OGL</t>
  </si>
  <si>
    <t>Durable, pit zips, ajustable</t>
  </si>
  <si>
    <t>Rigide, crépite</t>
  </si>
  <si>
    <t>Arc'teryx Beta SL</t>
  </si>
  <si>
    <t>REI Co-op Rainier</t>
  </si>
  <si>
    <t>Trek, Backpack, Voyage, Nomad</t>
  </si>
  <si>
    <t>Humide, Tempéré, Montagne</t>
  </si>
  <si>
    <t>Meilleure veste pluie rapport Q/P selon OGL. Garantie Ironclad à vie, pit zips, durable.</t>
  </si>
  <si>
    <t>P051</t>
  </si>
  <si>
    <t>Rainier</t>
  </si>
  <si>
    <t>2.5L</t>
  </si>
  <si>
    <t>Nylon 2.5L Hydrowall</t>
  </si>
  <si>
    <t>Meilleur rapport qualité/prix imperméables</t>
  </si>
  <si>
    <t>Prix imbattable, ventilation</t>
  </si>
  <si>
    <t>Intérieur plastique, mouille rapidement</t>
  </si>
  <si>
    <t>Patagonia Torrentshell</t>
  </si>
  <si>
    <t>Columbia Watertight II</t>
  </si>
  <si>
    <t>Humide, Tempéré</t>
  </si>
  <si>
    <t>Meilleur rapport qualité/prix imperméables. Prix imbattable, bonne ventilation.</t>
  </si>
  <si>
    <t>P052</t>
  </si>
  <si>
    <t>Beta SL</t>
  </si>
  <si>
    <t>Arc'teryx</t>
  </si>
  <si>
    <t>Gore-Tex ePE</t>
  </si>
  <si>
    <t>Gore-Tex 3L</t>
  </si>
  <si>
    <t>Meilleure veste technique premium</t>
  </si>
  <si>
    <t>Imperméabilité elite, légère, durable</t>
  </si>
  <si>
    <t>Très chère</t>
  </si>
  <si>
    <t>Arc'teryx Alpha SV</t>
  </si>
  <si>
    <t>Outdoor Research Helium</t>
  </si>
  <si>
    <t>Trek, Alpinisme, Voyage</t>
  </si>
  <si>
    <t>Veste technique élite Gore-Tex 3L. Garantie à vie Arc'teryx, légère 300g, performance maximale.</t>
  </si>
  <si>
    <t>P053</t>
  </si>
  <si>
    <t>Nano Puff</t>
  </si>
  <si>
    <t>PrimaLoft</t>
  </si>
  <si>
    <t>Nylon DWR / PrimaLoft Gold</t>
  </si>
  <si>
    <t>Référence doudounes synthétiques</t>
  </si>
  <si>
    <t>Légère, packable, sèche vite</t>
  </si>
  <si>
    <t>Moins chaude que duvet</t>
  </si>
  <si>
    <t>Arc'teryx Atom LT</t>
  </si>
  <si>
    <t>Decathlon Trek 100</t>
  </si>
  <si>
    <t>Référence doudounes synthétiques. Sèche vite, packable, garantie Ironclad, polyvalence maximale.</t>
  </si>
  <si>
    <t>P054</t>
  </si>
  <si>
    <t>Cerium LT</t>
  </si>
  <si>
    <t>Down Hoody</t>
  </si>
  <si>
    <t>Meilleure doudoune ultralight duvet</t>
  </si>
  <si>
    <t>Ultra-légère, très chaude, premium</t>
  </si>
  <si>
    <t>Très chère, fragile</t>
  </si>
  <si>
    <t>Rab Microlight Alpine</t>
  </si>
  <si>
    <t>Montbell Superior Down</t>
  </si>
  <si>
    <t>Meilleure doudoune UL duvet. 850 FP, 280g, chaleur exceptionnelle, mais fragile et chère.</t>
  </si>
  <si>
    <t>P055</t>
  </si>
  <si>
    <t>Capilene Cool Daily</t>
  </si>
  <si>
    <t>Hoody</t>
  </si>
  <si>
    <t>Polyester recyclé</t>
  </si>
  <si>
    <t>Meilleur base layer polyvalent</t>
  </si>
  <si>
    <t>UPF 50, évacue humidité, durable</t>
  </si>
  <si>
    <t>Léger odeur après usage</t>
  </si>
  <si>
    <t>Smartwool Merino 150</t>
  </si>
  <si>
    <t>Decathlon MH500</t>
  </si>
  <si>
    <t>Trek, Voyage, Nomad, Famille</t>
  </si>
  <si>
    <t>Tropical, Tempéré</t>
  </si>
  <si>
    <t>Meilleur base layer polyvalent. UPF 50, évacue humidité, garantie Ironclad, polyester recyclé.</t>
  </si>
  <si>
    <t>P056</t>
  </si>
  <si>
    <t>Merino 150</t>
  </si>
  <si>
    <t>Smartwool</t>
  </si>
  <si>
    <t>Base Layer</t>
  </si>
  <si>
    <t>Mérinos 87% / Nylon 13%</t>
  </si>
  <si>
    <t>Meilleur base layer mérinos</t>
  </si>
  <si>
    <t>Anti-odeur naturel, thermorégulation</t>
  </si>
  <si>
    <t>Prix élevé, sèche moins vite</t>
  </si>
  <si>
    <t>Icebreaker 200 Oasis</t>
  </si>
  <si>
    <t>Decathlon MT500</t>
  </si>
  <si>
    <t>Trek, Voyage, Hiver</t>
  </si>
  <si>
    <t>Meilleur mérinos. Anti-odeur naturel, thermorégulation, idéal voyages longs sans lavage fréquent.</t>
  </si>
  <si>
    <t>P057</t>
  </si>
  <si>
    <t>Quandary</t>
  </si>
  <si>
    <t>Pants</t>
  </si>
  <si>
    <t>32x32</t>
  </si>
  <si>
    <t>Nylon/Spandex DWR</t>
  </si>
  <si>
    <t>Meilleur pantalon randonnée polyvalent</t>
  </si>
  <si>
    <t>Stretch, séchage rapide, DWR</t>
  </si>
  <si>
    <t>Prana Stretch Zion</t>
  </si>
  <si>
    <t>REI Sahara</t>
  </si>
  <si>
    <t>Meilleur pantalon randonnée polyvalent. Stretch, séchage rapide, DWR, garantie Ironclad.</t>
  </si>
  <si>
    <t>P058</t>
  </si>
  <si>
    <t>Kaha 3 GTX</t>
  </si>
  <si>
    <t>Hoka</t>
  </si>
  <si>
    <t>Gore-Tex</t>
  </si>
  <si>
    <t>EU 43</t>
  </si>
  <si>
    <t>Gore-Tex / EVA Hubble</t>
  </si>
  <si>
    <t>Chaussure la plus confortable selon OGL</t>
  </si>
  <si>
    <t>Amorti exceptionnel, support, GTX</t>
  </si>
  <si>
    <t>Rodage nécessaire, prix</t>
  </si>
  <si>
    <t>Salomon Quest 5 GTX</t>
  </si>
  <si>
    <t>Merrell Moab 3</t>
  </si>
  <si>
    <t>Chaussure la plus confortable OGL. Amorti Hoka révolutionnaire, GTX, support excellent.</t>
  </si>
  <si>
    <t>P059</t>
  </si>
  <si>
    <t>X Ultra 4 Mid GTX</t>
  </si>
  <si>
    <t>Gore-Tex / Chassis Advanced</t>
  </si>
  <si>
    <t>Meilleur équilibre légèreté/support</t>
  </si>
  <si>
    <t>Légère, précise, polyvalente</t>
  </si>
  <si>
    <t>Moins durable que cuir</t>
  </si>
  <si>
    <t>La Sportiva Ultra Raptor</t>
  </si>
  <si>
    <t>Columbia Newton Ridge</t>
  </si>
  <si>
    <t>Trek, Backpack, Trail</t>
  </si>
  <si>
    <t>Meilleur équilibre légèreté/support. Précise, polyvalente, référence mid-cut moderne.</t>
  </si>
  <si>
    <t>P060</t>
  </si>
  <si>
    <t>Moab 3 Mid WP</t>
  </si>
  <si>
    <t>Merrell</t>
  </si>
  <si>
    <t>Waterproof</t>
  </si>
  <si>
    <t>Membrane imperméable / Vibram</t>
  </si>
  <si>
    <t>Meilleur rapport qualité/prix chaussures rando</t>
  </si>
  <si>
    <t>Confort immédiat, prix, disponibilité</t>
  </si>
  <si>
    <t>Traction boue moyenne, lourd</t>
  </si>
  <si>
    <t>Hoka Kaha 3</t>
  </si>
  <si>
    <t>Columbia Crestwood</t>
  </si>
  <si>
    <t>Tempéré, Humide</t>
  </si>
  <si>
    <t>Meilleur rapport Q/P chaussures rando. Confort immédiat, disponibilité mondiale, fiable.</t>
  </si>
  <si>
    <t>P061</t>
  </si>
  <si>
    <t>Speedcross 6</t>
  </si>
  <si>
    <t>Trail</t>
  </si>
  <si>
    <t>Mesh / Contragrip MA</t>
  </si>
  <si>
    <t>Référence trail running grip</t>
  </si>
  <si>
    <t>Accroche exceptionnelle, réactive</t>
  </si>
  <si>
    <t>Pas pour route, usure rapide</t>
  </si>
  <si>
    <t>La Sportiva Bushido</t>
  </si>
  <si>
    <t>Altra Lone Peak 8</t>
  </si>
  <si>
    <t>Runner's World</t>
  </si>
  <si>
    <t>Trail, Trek technique</t>
  </si>
  <si>
    <t>Humide, Montagne</t>
  </si>
  <si>
    <t>Référence trail running grip. Accroche exceptionnelle boue/terrain technique, légère, mais usure rapide.</t>
  </si>
  <si>
    <t>P062</t>
  </si>
  <si>
    <t>Ultra Raptor II</t>
  </si>
  <si>
    <t>La Sportiva</t>
  </si>
  <si>
    <t>GTX</t>
  </si>
  <si>
    <t>Gore-Tex / FriXion</t>
  </si>
  <si>
    <t>Meilleur trail montagne technique</t>
  </si>
  <si>
    <t>Accroche rocher, protection, GTX</t>
  </si>
  <si>
    <t>Taille petit, prix</t>
  </si>
  <si>
    <t>Scarpa Rush 2 Mid</t>
  </si>
  <si>
    <t>Inov-8 Roclite G 275</t>
  </si>
  <si>
    <t>Trek, Trail, Alpinisme</t>
  </si>
  <si>
    <t>Montagne, Humide</t>
  </si>
  <si>
    <t>Meilleur trail montagne technique. Protection rocher, GTX, accroche FriXion excellente.</t>
  </si>
  <si>
    <t>P063</t>
  </si>
  <si>
    <t>Camper</t>
  </si>
  <si>
    <t>Xero Shoes</t>
  </si>
  <si>
    <t>Z-Trail EV</t>
  </si>
  <si>
    <t>FeelTrue caoutchouc</t>
  </si>
  <si>
    <t>5000 miles</t>
  </si>
  <si>
    <t>Meilleures sandales minimalistes camp</t>
  </si>
  <si>
    <t>Ultra-légères, séchage rapide, packables</t>
  </si>
  <si>
    <t>Pas de support, minimaliste</t>
  </si>
  <si>
    <t>Bedrock Cairn 3D</t>
  </si>
  <si>
    <t>Teva Hurricane XLT2</t>
  </si>
  <si>
    <t>Trek, Backpack, Plage, Vanlife</t>
  </si>
  <si>
    <t>Meilleures sandales minimalistes camp. Ultra-légères, séchage rapide, packables, garantie 5000 miles.</t>
  </si>
  <si>
    <t>P064</t>
  </si>
  <si>
    <t>DynaLock Ascent Carbon</t>
  </si>
  <si>
    <t>Carbon</t>
  </si>
  <si>
    <t>Accessoires &amp; Outils</t>
  </si>
  <si>
    <t>100-140 cm</t>
  </si>
  <si>
    <t>Carbone/Aluminium</t>
  </si>
  <si>
    <t>Meilleurs bâtons polyvalents selon OGL</t>
  </si>
  <si>
    <t>Légers, compacts pliés, résistants</t>
  </si>
  <si>
    <t>Black Diamond Alpine Carbon Cork</t>
  </si>
  <si>
    <t>Black Diamond Trail Back</t>
  </si>
  <si>
    <t>Meilleurs bâtons polyvalents OGL. Carbone léger, compacts pliés, résistants, réglables.</t>
  </si>
  <si>
    <t>P065</t>
  </si>
  <si>
    <t>Trail Back</t>
  </si>
  <si>
    <t>Aluminum</t>
  </si>
  <si>
    <t>Aluminium 7075</t>
  </si>
  <si>
    <t>Meilleur rapport qualité/prix bâtons</t>
  </si>
  <si>
    <t>Durables, fiables, prix abordable</t>
  </si>
  <si>
    <t>Lourds, encombrants pliés</t>
  </si>
  <si>
    <t>MSR DynaLock</t>
  </si>
  <si>
    <t>Cascade Mountain Tech</t>
  </si>
  <si>
    <t>Trek, Famille, Budget</t>
  </si>
  <si>
    <t>Meilleur rapport Q/P bâtons. Alu 7075 indestructible, fiables, garantie BD excellente.</t>
  </si>
  <si>
    <t>P066</t>
  </si>
  <si>
    <t>Distance Carbon Z</t>
  </si>
  <si>
    <t>Z-Poles</t>
  </si>
  <si>
    <t>120 cm fixe</t>
  </si>
  <si>
    <t>Carbone</t>
  </si>
  <si>
    <t>Bâtons ultralight pliables</t>
  </si>
  <si>
    <t>Ultra-légers, très compacts</t>
  </si>
  <si>
    <t>Non ajustables, fragiles</t>
  </si>
  <si>
    <t>Gossamer Gear LT5</t>
  </si>
  <si>
    <t>Trekology Trek-Z</t>
  </si>
  <si>
    <t>Trail, UL</t>
  </si>
  <si>
    <t>Bâtons ultralight pliables 246g. Très compacts mais non ajustables et plus fragiles.</t>
  </si>
  <si>
    <t>P067</t>
  </si>
  <si>
    <t>Skeletool</t>
  </si>
  <si>
    <t>Leatherman</t>
  </si>
  <si>
    <t>CX</t>
  </si>
  <si>
    <t>10 cm fermé</t>
  </si>
  <si>
    <t>Acier 420HC/154CM</t>
  </si>
  <si>
    <t>25 ans</t>
  </si>
  <si>
    <t>Meilleur multitool compact/léger</t>
  </si>
  <si>
    <t>Léger, essentiel, clip ceinture</t>
  </si>
  <si>
    <t>Moins d'outils que version complète</t>
  </si>
  <si>
    <t>Leatherman Wave+</t>
  </si>
  <si>
    <t>Victorinox Huntsman</t>
  </si>
  <si>
    <t>Trek, Backpack, Voyage, Vanlife</t>
  </si>
  <si>
    <t>Meilleur multitool compact Wirecutter. Essentiel sans superflu, garantie 25 ans, SAV légendaire.</t>
  </si>
  <si>
    <t>P068</t>
  </si>
  <si>
    <t>Spartan</t>
  </si>
  <si>
    <t>Victorinox</t>
  </si>
  <si>
    <t>Swiss Army</t>
  </si>
  <si>
    <t>9.1 cm fermé</t>
  </si>
  <si>
    <t>Acier inox</t>
  </si>
  <si>
    <t>Couteau suisse essentiel classique</t>
  </si>
  <si>
    <t>Compact, léger, iconique, prix</t>
  </si>
  <si>
    <t>Pas de pince</t>
  </si>
  <si>
    <t>Victorinox Tinker</t>
  </si>
  <si>
    <t>Suisse/Europe</t>
  </si>
  <si>
    <t>Couteau suisse essentiel classique. Compact 58g, iconique, garantie à vie, prix imbattable.</t>
  </si>
  <si>
    <t>P069</t>
  </si>
  <si>
    <t>Packing Cubes</t>
  </si>
  <si>
    <t>Eagle Creek</t>
  </si>
  <si>
    <t>Pack-It Reveal Set</t>
  </si>
  <si>
    <t>Set 3 tailles</t>
  </si>
  <si>
    <t>Polyester ripstop recyclé</t>
  </si>
  <si>
    <t>Meilleurs cubes organisation voyage</t>
  </si>
  <si>
    <t>Légers, transparents, durables</t>
  </si>
  <si>
    <t>Prix pour un set</t>
  </si>
  <si>
    <t>Peak Design Packing Cubes</t>
  </si>
  <si>
    <t>Amazon Basics Set</t>
  </si>
  <si>
    <t>Backpack, Voyage, Nomad, Famille</t>
  </si>
  <si>
    <t>Meilleurs cubes organisation Wirecutter. Transparents, légers, garantie à vie, polyester recyclé.</t>
  </si>
  <si>
    <t>P070</t>
  </si>
  <si>
    <t>Stuff Sacks</t>
  </si>
  <si>
    <t>Ultra-Sil Set</t>
  </si>
  <si>
    <t>Set XS/S/M</t>
  </si>
  <si>
    <t>Sil-Nylon 15D</t>
  </si>
  <si>
    <t>Sacs de compression ultralight</t>
  </si>
  <si>
    <t>Ultra-légers, étanches, compressibles</t>
  </si>
  <si>
    <t>Fragiles si surchargés</t>
  </si>
  <si>
    <t>Granite Gear eVent</t>
  </si>
  <si>
    <t>REI Lightweight Set</t>
  </si>
  <si>
    <t>Sacs compression ultralight. 45g le set, étanches, compressibles, parfait organisation sac.</t>
  </si>
  <si>
    <t>P071</t>
  </si>
  <si>
    <t>Baseplate Compass</t>
  </si>
  <si>
    <t>Suunto</t>
  </si>
  <si>
    <t>A-30</t>
  </si>
  <si>
    <t>11.8 cm</t>
  </si>
  <si>
    <t>Plastique/métal</t>
  </si>
  <si>
    <t>Boussole référence navigation</t>
  </si>
  <si>
    <t>Précise, clinomètre, luminescent</t>
  </si>
  <si>
    <t>Nécessite apprentissage</t>
  </si>
  <si>
    <t>Silva Ranger</t>
  </si>
  <si>
    <t>Brunton TruArc 3</t>
  </si>
  <si>
    <t>Trek, Alpinisme, Aventure</t>
  </si>
  <si>
    <t>Boussole référence navigation. Clinomètre, luminescent, précise, backup GPS essentiel.</t>
  </si>
  <si>
    <t>P072</t>
  </si>
  <si>
    <t>Mountain Backpacker</t>
  </si>
  <si>
    <t>Adventure Medical Kits</t>
  </si>
  <si>
    <t>Mountain Series</t>
  </si>
  <si>
    <t>18x13x8 cm</t>
  </si>
  <si>
    <t>Nylon DryFlex</t>
  </si>
  <si>
    <t>Meilleur kit premiers secours rando selon Wirecutter</t>
  </si>
  <si>
    <t>Complet, organisé, léger</t>
  </si>
  <si>
    <t>Réappro nécessaire</t>
  </si>
  <si>
    <t>NOLS Med Kit 4.0</t>
  </si>
  <si>
    <t>REI Trail First Aid</t>
  </si>
  <si>
    <t>Meilleur kit premiers secours Wirecutter. Complet, organisé, léger, adapté rando multi-jours.</t>
  </si>
  <si>
    <t>P073</t>
  </si>
  <si>
    <t>Ultralight .7</t>
  </si>
  <si>
    <t>Watertight</t>
  </si>
  <si>
    <t>15x10x5 cm</t>
  </si>
  <si>
    <t>TPU étanche</t>
  </si>
  <si>
    <t>Kit ultralight essentiel</t>
  </si>
  <si>
    <t>Ultra-compact, étanche, léger</t>
  </si>
  <si>
    <t>Basique, peu de matériel</t>
  </si>
  <si>
    <t>AMK Mountain Hiker</t>
  </si>
  <si>
    <t>Coleman First Aid</t>
  </si>
  <si>
    <t>Kit ultralight essentiel 130g. Étanche, compact, basique mais suffisant sorties courtes.</t>
  </si>
  <si>
    <t>P074</t>
  </si>
  <si>
    <t>Emergency Blanket</t>
  </si>
  <si>
    <t>SOL</t>
  </si>
  <si>
    <t>Survive Outdoors Longer</t>
  </si>
  <si>
    <t>142x213 cm</t>
  </si>
  <si>
    <t>Mylar réfléchissant</t>
  </si>
  <si>
    <t>Couverture survie premium</t>
  </si>
  <si>
    <t>90% réflexion chaleur, compact</t>
  </si>
  <si>
    <t>Usage unique idéalement</t>
  </si>
  <si>
    <t>Blizzard Survival Blanket</t>
  </si>
  <si>
    <t>Decathlon Emergency</t>
  </si>
  <si>
    <t>Trek, Backpack, Urgence</t>
  </si>
  <si>
    <t>Couverture survie premium. 90% réflexion chaleur, 70g, indispensable sécurité, usage unique.</t>
  </si>
  <si>
    <t>P075</t>
  </si>
  <si>
    <t>Safety Whistle</t>
  </si>
  <si>
    <t>Fox 40</t>
  </si>
  <si>
    <t>Micro</t>
  </si>
  <si>
    <t>4.7 cm</t>
  </si>
  <si>
    <t>Plastique ABS</t>
  </si>
  <si>
    <t>Sifflet urgence le plus puissant</t>
  </si>
  <si>
    <t>120 dB, sans bille, compact</t>
  </si>
  <si>
    <t>Peut être bruyant pour les oreilles</t>
  </si>
  <si>
    <t>Storm All-Weather</t>
  </si>
  <si>
    <t>Acme Tornado</t>
  </si>
  <si>
    <t>Trek, Backpack, Famille, Urgence</t>
  </si>
  <si>
    <t>Sifflet urgence le plus puissant 120dB. 7g, sans bille, fonctionne mouillé, indispensable.</t>
  </si>
  <si>
    <t>P076</t>
  </si>
  <si>
    <t>Airlite Towel</t>
  </si>
  <si>
    <t>Large</t>
  </si>
  <si>
    <t>Hygiène &amp; Confort</t>
  </si>
  <si>
    <t>84x36 cm</t>
  </si>
  <si>
    <t>Suede microfibre</t>
  </si>
  <si>
    <t>Serviette ultralight la plus absorbante</t>
  </si>
  <si>
    <t>Super absorbante, séchage rapide</t>
  </si>
  <si>
    <t>PackTowl Personal</t>
  </si>
  <si>
    <t>Decathlon Nabaiji</t>
  </si>
  <si>
    <t>Serviette UL la plus absorbante. Séchage rapide, légère, compacte, indispensable hygiène.</t>
  </si>
  <si>
    <t>P077</t>
  </si>
  <si>
    <t>Toiletry Bag Light</t>
  </si>
  <si>
    <t>Small</t>
  </si>
  <si>
    <t>20x12x6 cm</t>
  </si>
  <si>
    <t>Nylon 70D</t>
  </si>
  <si>
    <t>Trousse toilette légère organisée</t>
  </si>
  <si>
    <t>Légère, compartiments, crochet</t>
  </si>
  <si>
    <t>Petit volume</t>
  </si>
  <si>
    <t>Osprey Ultralight Roll</t>
  </si>
  <si>
    <t>Muji Travel Pouch</t>
  </si>
  <si>
    <t>Backpack, Voyage, Nomad</t>
  </si>
  <si>
    <t>Trousse toilette légère organisée. Compartiments, crochet intégré, 60g seulement.</t>
  </si>
  <si>
    <t>P078</t>
  </si>
  <si>
    <t>Trek 100</t>
  </si>
  <si>
    <t>Quechua/Decathlon</t>
  </si>
  <si>
    <t>Down</t>
  </si>
  <si>
    <t>Duvet recyclé</t>
  </si>
  <si>
    <t>10 ans</t>
  </si>
  <si>
    <t>Meilleur rapport qualité/prix doudoune</t>
  </si>
  <si>
    <t>Prix imbattable, légère, chaude</t>
  </si>
  <si>
    <t>Moins packable que premium</t>
  </si>
  <si>
    <t>Patagonia Nano Puff</t>
  </si>
  <si>
    <t>Uniqlo Ultra Light Down</t>
  </si>
  <si>
    <t>Europe/monde</t>
  </si>
  <si>
    <t>Non</t>
  </si>
  <si>
    <t>Meilleur rapport Q/P doudoune. Prix imbattable Decathlon, garantie 10 ans, duvet recyclé.</t>
  </si>
  <si>
    <t>P079</t>
  </si>
  <si>
    <t>MH500</t>
  </si>
  <si>
    <t>Hiking</t>
  </si>
  <si>
    <t>50L</t>
  </si>
  <si>
    <t>Alternative européenne budget excellent</t>
  </si>
  <si>
    <t>Prix imbattable, durable, 10 ans garantie</t>
  </si>
  <si>
    <t>Moins de fonctionnalités premium</t>
  </si>
  <si>
    <t>Osprey Atmos AG</t>
  </si>
  <si>
    <t>Forclaz MT100</t>
  </si>
  <si>
    <t>Decathlon</t>
  </si>
  <si>
    <t>Alternative européenne budget excellent. Garantie Decathlon 10 ans, durable, bon rapport Q/P.</t>
  </si>
  <si>
    <t>P080</t>
  </si>
  <si>
    <t>Arpenaz 2 Fresh&amp;Black</t>
  </si>
  <si>
    <t>2P</t>
  </si>
  <si>
    <t>205x145 cm sol</t>
  </si>
  <si>
    <t>Polyester Fresh&amp;Black</t>
  </si>
  <si>
    <t>Meilleure tente budget européenne</t>
  </si>
  <si>
    <t>Prix ultra-bas, montage rapide, obscurité</t>
  </si>
  <si>
    <t>Lourde, pas pour rando</t>
  </si>
  <si>
    <t>TNF Stormbreak 2</t>
  </si>
  <si>
    <t>Coleman Sundome 2</t>
  </si>
  <si>
    <t>Camping, Famille, Budget</t>
  </si>
  <si>
    <t>Meilleure tente budget européenne. Montage rapide, technologie obscurcissante, mais lourde.</t>
  </si>
  <si>
    <t>P081</t>
  </si>
  <si>
    <t>Cloud Up 2</t>
  </si>
  <si>
    <t>Naturehike</t>
  </si>
  <si>
    <t>210x125 cm sol</t>
  </si>
  <si>
    <t>Nylon 20D silicone</t>
  </si>
  <si>
    <t>Alternative chinoise qualité surprenante</t>
  </si>
  <si>
    <t>Prix bas, légère, qualité correcte</t>
  </si>
  <si>
    <t>SAV limité, finitions moyennes</t>
  </si>
  <si>
    <t>MSR Hubba Hubba</t>
  </si>
  <si>
    <t>Forclaz Trek 500</t>
  </si>
  <si>
    <t>Reddit r/CampingGear</t>
  </si>
  <si>
    <t>Trek, Budget, UL</t>
  </si>
  <si>
    <t>Alternative chinoise qualité surprenante. Prix bas, légère, idéal débutants UL ou backup.</t>
  </si>
  <si>
    <t>CONSOMMABLES &amp; RECHARGES</t>
  </si>
  <si>
    <t>Produit</t>
  </si>
  <si>
    <t>Marque Recommandée</t>
  </si>
  <si>
    <t>Prix Moyen</t>
  </si>
  <si>
    <t>Durée/Quantité</t>
  </si>
  <si>
    <t>Disponibilité</t>
  </si>
  <si>
    <t>Notes</t>
  </si>
  <si>
    <t>Alternative</t>
  </si>
  <si>
    <t>Gaz &amp; Combustibles</t>
  </si>
  <si>
    <t>Cartouche Isobutane 100g</t>
  </si>
  <si>
    <t>MSR IsoPro / Primus</t>
  </si>
  <si>
    <t>6 €</t>
  </si>
  <si>
    <t>~1h ébullition</t>
  </si>
  <si>
    <t>REI, Decathlon, Globetrotter</t>
  </si>
  <si>
    <t>Standard vissable, compatible Jetboil/Soto/MSR</t>
  </si>
  <si>
    <t>Coleman, Campingaz CV300</t>
  </si>
  <si>
    <t>Cartouche Isobutane 230g</t>
  </si>
  <si>
    <t>10 €</t>
  </si>
  <si>
    <t>~2.5h ébullition</t>
  </si>
  <si>
    <t>REI, Decathlon, Snowleader</t>
  </si>
  <si>
    <t>Format trek multi-jours</t>
  </si>
  <si>
    <t>Optimus, Edelrid</t>
  </si>
  <si>
    <t>Essence C / White Gas 1L</t>
  </si>
  <si>
    <t>MSR SuperFuel</t>
  </si>
  <si>
    <t>15 €</t>
  </si>
  <si>
    <t>~3h réchaud</t>
  </si>
  <si>
    <t>REI, Globetrotter</t>
  </si>
  <si>
    <t>Pour réchauds multi-fuel (WhisperLite)</t>
  </si>
  <si>
    <t>Coleman Fuel, Essence F</t>
  </si>
  <si>
    <t>Tablettes Esbit 14g x12</t>
  </si>
  <si>
    <t>Esbit</t>
  </si>
  <si>
    <t>8 €</t>
  </si>
  <si>
    <t>12 utilisations</t>
  </si>
  <si>
    <t>Amazon, Decathlon</t>
  </si>
  <si>
    <t>Backup ultralight, pas de simmer</t>
  </si>
  <si>
    <t>Coghlan's, BCB</t>
  </si>
  <si>
    <t>Piles &amp; Batteries</t>
  </si>
  <si>
    <t>Piles AAA rechargeables</t>
  </si>
  <si>
    <t>Panasonic Eneloop</t>
  </si>
  <si>
    <t>15 € (x4)</t>
  </si>
  <si>
    <t>2100 cycles</t>
  </si>
  <si>
    <t>Amazon, magasins électro</t>
  </si>
  <si>
    <t>Pour frontales Petzl, Black Diamond</t>
  </si>
  <si>
    <t>IKEA Ladda, Amazon Basics</t>
  </si>
  <si>
    <t>Piles AA rechargeables</t>
  </si>
  <si>
    <t>Panasonic Eneloop Pro</t>
  </si>
  <si>
    <t>18 € (x4)</t>
  </si>
  <si>
    <t>500 cycles haute capacité</t>
  </si>
  <si>
    <t>Amazon, Fnac</t>
  </si>
  <si>
    <t>Haute capacité pour GPS, lampes</t>
  </si>
  <si>
    <t>Duracell Rechargeable</t>
  </si>
  <si>
    <t>Pile CR123A</t>
  </si>
  <si>
    <t>Energizer / Panasonic</t>
  </si>
  <si>
    <t>5 € (x2)</t>
  </si>
  <si>
    <t>Usage unique</t>
  </si>
  <si>
    <t>Amazon, photo</t>
  </si>
  <si>
    <t>Pour Fenix HM50R, conditions froides</t>
  </si>
  <si>
    <t>SureFire, Streamlight</t>
  </si>
  <si>
    <t>Filtration Eau</t>
  </si>
  <si>
    <t>Pastilles Micropur Classic</t>
  </si>
  <si>
    <t>15 € (100 tabs)</t>
  </si>
  <si>
    <t>100L eau</t>
  </si>
  <si>
    <t>Decathlon, pharmacies</t>
  </si>
  <si>
    <t>30min attente, goût chlore léger</t>
  </si>
  <si>
    <t>Aquatabs, Potable Aqua</t>
  </si>
  <si>
    <t>Aquamira</t>
  </si>
  <si>
    <t>18 €</t>
  </si>
  <si>
    <t>60L eau</t>
  </si>
  <si>
    <t>Amazon, REI</t>
  </si>
  <si>
    <t>Système 2 flacons, efficace virus</t>
  </si>
  <si>
    <t>MSR Aquatabs</t>
  </si>
  <si>
    <t>Filtre remplacement Sawyer</t>
  </si>
  <si>
    <t>N/A</t>
  </si>
  <si>
    <t>Backflush avec seringue</t>
  </si>
  <si>
    <t>Inclus dans kit, nettoyage régulier</t>
  </si>
  <si>
    <t>BeFree Cleaning</t>
  </si>
  <si>
    <t>Poche CNOC Vecto 2L</t>
  </si>
  <si>
    <t>CNOC</t>
  </si>
  <si>
    <t>Plusieurs années</t>
  </si>
  <si>
    <t>Amazon</t>
  </si>
  <si>
    <t>Compatible Sawyer, plus durable que sachets</t>
  </si>
  <si>
    <t>Evernew, Platypus</t>
  </si>
  <si>
    <t>Hygiène</t>
  </si>
  <si>
    <t>Savon Dr. Bronner's 60ml</t>
  </si>
  <si>
    <t>Dr. Bronner's</t>
  </si>
  <si>
    <t>~30 utilisations</t>
  </si>
  <si>
    <t>Bio, Amazon, Naturalia</t>
  </si>
  <si>
    <t>Multi-usage: corps, vaisselle, lessive</t>
  </si>
  <si>
    <t>Sea to Summit Wilderness Wash</t>
  </si>
  <si>
    <t>Dentifrice solide</t>
  </si>
  <si>
    <t>Denttabs / Bite</t>
  </si>
  <si>
    <t>10 € (125 tabs)</t>
  </si>
  <si>
    <t>~60 jours</t>
  </si>
  <si>
    <t>Bio, Amazon</t>
  </si>
  <si>
    <t>Zéro déchet, léger, voyage avion OK</t>
  </si>
  <si>
    <t>Lush Toothy Tabs</t>
  </si>
  <si>
    <t>Lessive feuilles</t>
  </si>
  <si>
    <t>Tru Earth</t>
  </si>
  <si>
    <t>15 € (32 feuilles)</t>
  </si>
  <si>
    <t>32 lavages</t>
  </si>
  <si>
    <t>Amazon, éco-shops</t>
  </si>
  <si>
    <t>Ultralight, biodégradable</t>
  </si>
  <si>
    <t>Sea to Summit Trek &amp; Travel</t>
  </si>
  <si>
    <t>Papier toilette biodégradable</t>
  </si>
  <si>
    <t>Caboo / Sea to Summit</t>
  </si>
  <si>
    <t>5 € (rouleau)</t>
  </si>
  <si>
    <t>Variable</t>
  </si>
  <si>
    <t>REI, Amazon</t>
  </si>
  <si>
    <t>Se décompose rapidement</t>
  </si>
  <si>
    <t>Papier recyclé standard</t>
  </si>
  <si>
    <t>Lingettes biodégradables</t>
  </si>
  <si>
    <t>Sea to Summit / Wysi</t>
  </si>
  <si>
    <t>8 € (50 pcs)</t>
  </si>
  <si>
    <t>50 utilisations</t>
  </si>
  <si>
    <t>Compressées, légères</t>
  </si>
  <si>
    <t>Combat Wipes, Surviveware</t>
  </si>
  <si>
    <t>Protection</t>
  </si>
  <si>
    <t>Crème solaire SPF50 100ml</t>
  </si>
  <si>
    <t>La Roche-Posay / Avène</t>
  </si>
  <si>
    <t>~2 semaines intense</t>
  </si>
  <si>
    <t>Pharmacies, supermarchés</t>
  </si>
  <si>
    <t>Résistant eau, visage</t>
  </si>
  <si>
    <t>Decathlon Sun, Nivea</t>
  </si>
  <si>
    <t>Stick lèvres SPF30</t>
  </si>
  <si>
    <t>Labello / Carmex</t>
  </si>
  <si>
    <t>4 €</t>
  </si>
  <si>
    <t>~1 mois</t>
  </si>
  <si>
    <t>Indispensable altitude</t>
  </si>
  <si>
    <t>Sun Bum, Blistex</t>
  </si>
  <si>
    <t>Anti-moustiques DEET 50%</t>
  </si>
  <si>
    <t>Insect Ecran / Repel</t>
  </si>
  <si>
    <t>12 €</t>
  </si>
  <si>
    <t>~100 applications</t>
  </si>
  <si>
    <t>Pharmacies, Amazon</t>
  </si>
  <si>
    <t>Zones tropicales, efficace</t>
  </si>
  <si>
    <t>Sawyer Picaridin, Ultrathon</t>
  </si>
  <si>
    <t>Permethrine spray vêtements</t>
  </si>
  <si>
    <t>6 lavages</t>
  </si>
  <si>
    <t>Traitement préventif vêtements/tente</t>
  </si>
  <si>
    <t>Insect Shield</t>
  </si>
  <si>
    <t>Pharmacie</t>
  </si>
  <si>
    <t>Ibuprofène 400mg</t>
  </si>
  <si>
    <t>Advil / Nurofen</t>
  </si>
  <si>
    <t>5 €</t>
  </si>
  <si>
    <t>20 comprimés</t>
  </si>
  <si>
    <t>Pharmacies</t>
  </si>
  <si>
    <t>Anti-inflammatoire, douleurs</t>
  </si>
  <si>
    <t>Générique</t>
  </si>
  <si>
    <t>Paracétamol 1000mg</t>
  </si>
  <si>
    <t>Doliprane / Efferalgan</t>
  </si>
  <si>
    <t>3 €</t>
  </si>
  <si>
    <t>16 comprimés</t>
  </si>
  <si>
    <t>Fièvre, douleurs légères</t>
  </si>
  <si>
    <t>Lopéramide (anti-diarrhée)</t>
  </si>
  <si>
    <t>Imodium</t>
  </si>
  <si>
    <t>12 gélules</t>
  </si>
  <si>
    <t>Essentiel voyage</t>
  </si>
  <si>
    <t>Antihistaminique</t>
  </si>
  <si>
    <t>Zyrtec / Aerius</t>
  </si>
  <si>
    <t>14 comprimés</t>
  </si>
  <si>
    <t>Allergies, piqûres</t>
  </si>
  <si>
    <t>Générique Cetirizine</t>
  </si>
  <si>
    <t>Compeed Ampoules</t>
  </si>
  <si>
    <t>Compeed</t>
  </si>
  <si>
    <t>5 pansements</t>
  </si>
  <si>
    <t>Pansements hydrocolloïdes</t>
  </si>
  <si>
    <t>Leukoplast, Band-Aid</t>
  </si>
  <si>
    <t>Bande cohésive élastique</t>
  </si>
  <si>
    <t>Coban / BSN</t>
  </si>
  <si>
    <t>1 rouleau 5m</t>
  </si>
  <si>
    <t>Maintien, entorses</t>
  </si>
  <si>
    <t>Elastoplast</t>
  </si>
  <si>
    <t>Antiseptique Bétadine 60ml</t>
  </si>
  <si>
    <t>Bétadine</t>
  </si>
  <si>
    <t>~50 applications</t>
  </si>
  <si>
    <t>Désinfection plaies</t>
  </si>
  <si>
    <t>Chlorhexidine, Dakin</t>
  </si>
  <si>
    <t>Pansements assortis</t>
  </si>
  <si>
    <t>Elastoplast / Nexcare</t>
  </si>
  <si>
    <t>20-40 pcs</t>
  </si>
  <si>
    <t>Différentes tailles</t>
  </si>
  <si>
    <t>Band-Aid, Urgo</t>
  </si>
  <si>
    <t>RÉPERTOIRE DES MARQUES</t>
  </si>
  <si>
    <t>Pays</t>
  </si>
  <si>
    <t>Fondée</t>
  </si>
  <si>
    <t>Positionnement</t>
  </si>
  <si>
    <t>Spécialité</t>
  </si>
  <si>
    <t>SAV</t>
  </si>
  <si>
    <t>Disponibilité Mondiale</t>
  </si>
  <si>
    <t>Site Officiel</t>
  </si>
  <si>
    <t>USA</t>
  </si>
  <si>
    <t>Premium</t>
  </si>
  <si>
    <t>Sacs à dos</t>
  </si>
  <si>
    <t>Réparation gratuite tout défaut</t>
  </si>
  <si>
    <t>Excellente</t>
  </si>
  <si>
    <t>osprey.com</t>
  </si>
  <si>
    <t>Premium Éco</t>
  </si>
  <si>
    <t>Vêtements outdoor</t>
  </si>
  <si>
    <t>Réparation gratuite, programme Worn Wear</t>
  </si>
  <si>
    <t>patagonia.com</t>
  </si>
  <si>
    <t>Canada</t>
  </si>
  <si>
    <t>Ultra-Premium</t>
  </si>
  <si>
    <t>Vêtements techniques</t>
  </si>
  <si>
    <t>Réparation payante haute qualité</t>
  </si>
  <si>
    <t>arcteryx.com</t>
  </si>
  <si>
    <t>Réchauds, tentes, filtres</t>
  </si>
  <si>
    <t>3 ans + service</t>
  </si>
  <si>
    <t>Réparation, pièces détachées</t>
  </si>
  <si>
    <t>msrgear.com</t>
  </si>
  <si>
    <t>Tentes, matelas</t>
  </si>
  <si>
    <t>Réparation, remplacement</t>
  </si>
  <si>
    <t>Bonne (USA prioritaire)</t>
  </si>
  <si>
    <t>bigagnes.com</t>
  </si>
  <si>
    <t>Tentes, matelas, sacs couchage</t>
  </si>
  <si>
    <t>Bonne</t>
  </si>
  <si>
    <t>nemoequipment.com</t>
  </si>
  <si>
    <t>Matelas, oreillers</t>
  </si>
  <si>
    <t>Via Cascade Designs</t>
  </si>
  <si>
    <t>thermarest.com</t>
  </si>
  <si>
    <t>Éclairage, escalade, bâtons</t>
  </si>
  <si>
    <t>Réparation, pièces</t>
  </si>
  <si>
    <t>blackdiamondequipment.com</t>
  </si>
  <si>
    <t>France</t>
  </si>
  <si>
    <t>Frontales, escalade</t>
  </si>
  <si>
    <t>Excellent SAV européen</t>
  </si>
  <si>
    <t>petzl.com</t>
  </si>
  <si>
    <t>Systèmes cuisson intégrés</t>
  </si>
  <si>
    <t>jetboil.com</t>
  </si>
  <si>
    <t>Japon</t>
  </si>
  <si>
    <t>Réchauds</t>
  </si>
  <si>
    <t>Via distributeurs</t>
  </si>
  <si>
    <t>sfreg.net/soto</t>
  </si>
  <si>
    <t>Milieu-Premium</t>
  </si>
  <si>
    <t>Vaisselle camping</t>
  </si>
  <si>
    <t>Remplacement</t>
  </si>
  <si>
    <t>gsioutdoors.com</t>
  </si>
  <si>
    <t>Milieu gamme</t>
  </si>
  <si>
    <t>Filtration eau</t>
  </si>
  <si>
    <t>Remplacement garanti</t>
  </si>
  <si>
    <t>sawyer.com</t>
  </si>
  <si>
    <t>Suisse</t>
  </si>
  <si>
    <t>Filtration eau, pastilles</t>
  </si>
  <si>
    <t>2-5 ans</t>
  </si>
  <si>
    <t>SAV européen</t>
  </si>
  <si>
    <t>katadyn.com</t>
  </si>
  <si>
    <t>Suisse/Danemark</t>
  </si>
  <si>
    <t>lifestraw.com</t>
  </si>
  <si>
    <t>Poches eau, filtration</t>
  </si>
  <si>
    <t>Réparation</t>
  </si>
  <si>
    <t>platy.com</t>
  </si>
  <si>
    <t>Australie</t>
  </si>
  <si>
    <t>Accessoires voyage</t>
  </si>
  <si>
    <t>seatosummit.com</t>
  </si>
  <si>
    <t>Sacs couchage duvet</t>
  </si>
  <si>
    <t>Réparation artisanale</t>
  </si>
  <si>
    <t>Limitée (USA)</t>
  </si>
  <si>
    <t>westernmountaineering.com</t>
  </si>
  <si>
    <t>Premium Cottage</t>
  </si>
  <si>
    <t>Quilts, sacs couchage</t>
  </si>
  <si>
    <t>Réparation sur mesure</t>
  </si>
  <si>
    <t>enlightenedequipment.com</t>
  </si>
  <si>
    <t>Durston Gear</t>
  </si>
  <si>
    <t>Tentes ultralight</t>
  </si>
  <si>
    <t>Via contact direct</t>
  </si>
  <si>
    <t>Bonne (online)</t>
  </si>
  <si>
    <t>durstongear.com</t>
  </si>
  <si>
    <t>Zpacks</t>
  </si>
  <si>
    <t>Ultra-Premium UL</t>
  </si>
  <si>
    <t>Tentes Dyneema</t>
  </si>
  <si>
    <t>Limitée</t>
  </si>
  <si>
    <t>zpacks.com</t>
  </si>
  <si>
    <t>Suède</t>
  </si>
  <si>
    <t>Tentes 4 saisons</t>
  </si>
  <si>
    <t>Excellent SAV</t>
  </si>
  <si>
    <t>hilleberg.com</t>
  </si>
  <si>
    <t>Tentes alpines</t>
  </si>
  <si>
    <t>SAV France</t>
  </si>
  <si>
    <t>Europe prioritaire</t>
  </si>
  <si>
    <t>samaya-equipment.com</t>
  </si>
  <si>
    <t>Vêtements, tentes</t>
  </si>
  <si>
    <t>thenorthface.com</t>
  </si>
  <si>
    <t>Multi-catégories (MDD)</t>
  </si>
  <si>
    <t>Excellent (membres)</t>
  </si>
  <si>
    <t>USA + online</t>
  </si>
  <si>
    <t>rei.com</t>
  </si>
  <si>
    <t>Chaussures, trail</t>
  </si>
  <si>
    <t>salomon.com</t>
  </si>
  <si>
    <t>Chaussures randonnée</t>
  </si>
  <si>
    <t>merrell.com</t>
  </si>
  <si>
    <t>Italie</t>
  </si>
  <si>
    <t>Chaussures montagne</t>
  </si>
  <si>
    <t>lasportiva.com</t>
  </si>
  <si>
    <t>Chaussures running/rando</t>
  </si>
  <si>
    <t>hoka.com</t>
  </si>
  <si>
    <t>Multitools</t>
  </si>
  <si>
    <t>Réparation/remplacement</t>
  </si>
  <si>
    <t>leatherman.com</t>
  </si>
  <si>
    <t>Couteaux suisses</t>
  </si>
  <si>
    <t>Réparation gratuite</t>
  </si>
  <si>
    <t>victorinox.com</t>
  </si>
  <si>
    <t>Chine</t>
  </si>
  <si>
    <t>Batteries, électronique</t>
  </si>
  <si>
    <t>anker.com</t>
  </si>
  <si>
    <t>Frontales, batteries</t>
  </si>
  <si>
    <t>nitecore.com</t>
  </si>
  <si>
    <t>Panneaux solaires, batteries</t>
  </si>
  <si>
    <t>goalzero.com</t>
  </si>
  <si>
    <t>Budget</t>
  </si>
  <si>
    <t>Multi-catégories</t>
  </si>
  <si>
    <t>2-10 ans</t>
  </si>
  <si>
    <t>En magasin, excellent</t>
  </si>
  <si>
    <t>Excellente (60+ pays)</t>
  </si>
  <si>
    <t>decathlon.com</t>
  </si>
  <si>
    <t>Kits premiers secours</t>
  </si>
  <si>
    <t>adventuremedicalkits.com</t>
  </si>
  <si>
    <t>FOURNISSEURS &amp; DISTRIBUTEURS</t>
  </si>
  <si>
    <t>Distributeur</t>
  </si>
  <si>
    <t>Type</t>
  </si>
  <si>
    <t>Pays Desservis</t>
  </si>
  <si>
    <t>Marques Distribuées</t>
  </si>
  <si>
    <t>Livraison France</t>
  </si>
  <si>
    <t>Site Web</t>
  </si>
  <si>
    <t>Retail + Online</t>
  </si>
  <si>
    <t>60+ pays (Europe, Asie, Amérique)</t>
  </si>
  <si>
    <t>Quechua, Forclaz, Simond + marques tierces</t>
  </si>
  <si>
    <t>Gratuit &gt; 60€</t>
  </si>
  <si>
    <t>decathlon.fr</t>
  </si>
  <si>
    <t>Meilleur rapport qualité/prix, retours faciles</t>
  </si>
  <si>
    <t>Snowleader</t>
  </si>
  <si>
    <t>Online spécialisé</t>
  </si>
  <si>
    <t>Europe</t>
  </si>
  <si>
    <t>MSR, Big Agnes, Nemo, Black Diamond, Osprey, Petzl</t>
  </si>
  <si>
    <t>Gratuit &gt; 100€</t>
  </si>
  <si>
    <t>snowleader.com</t>
  </si>
  <si>
    <t>Spécialiste montagne, bon stock</t>
  </si>
  <si>
    <t>Hardloop</t>
  </si>
  <si>
    <t>France, Europe</t>
  </si>
  <si>
    <t>MSR, Osprey, Patagonia, Arc'teryx, Salomon</t>
  </si>
  <si>
    <t>hardloop.fr</t>
  </si>
  <si>
    <t>Large choix outdoor, promos régulières</t>
  </si>
  <si>
    <t>Globetrotter</t>
  </si>
  <si>
    <t>Allemagne, Europe</t>
  </si>
  <si>
    <t>Toutes marques premium</t>
  </si>
  <si>
    <t>globetrotter.de</t>
  </si>
  <si>
    <t>Institution allemande, énorme choix</t>
  </si>
  <si>
    <t>Trekkinn</t>
  </si>
  <si>
    <t>Online discount</t>
  </si>
  <si>
    <t>Mondial</t>
  </si>
  <si>
    <t>Toutes marques</t>
  </si>
  <si>
    <t>Variable, économique</t>
  </si>
  <si>
    <t>trekkinn.com</t>
  </si>
  <si>
    <t>Prix compétitifs, stock variable</t>
  </si>
  <si>
    <t>Alpinstore</t>
  </si>
  <si>
    <t>Arc'teryx, Osprey, Black Diamond, MSR</t>
  </si>
  <si>
    <t>Gratuit &gt; 80€</t>
  </si>
  <si>
    <t>alpinstore.com</t>
  </si>
  <si>
    <t>Spécialiste alpinisme</t>
  </si>
  <si>
    <t>I-Trekkings</t>
  </si>
  <si>
    <t>Online boutique</t>
  </si>
  <si>
    <t>Sea to Summit, Exped, Sawyer</t>
  </si>
  <si>
    <t>i-trekkings.net</t>
  </si>
  <si>
    <t>Spécialiste ultralight</t>
  </si>
  <si>
    <t>Sacàdos</t>
  </si>
  <si>
    <t>Retail Paris</t>
  </si>
  <si>
    <t>Osprey, Deuter, Gregory</t>
  </si>
  <si>
    <t>En magasin</t>
  </si>
  <si>
    <t>sacados.com</t>
  </si>
  <si>
    <t>Conseil personnalisé sacs à dos</t>
  </si>
  <si>
    <t>Au Vieux Campeur</t>
  </si>
  <si>
    <t>auvieuxcampeur.fr</t>
  </si>
  <si>
    <t>Institution française, conseil expert</t>
  </si>
  <si>
    <t>Amazon.fr</t>
  </si>
  <si>
    <t>Marketplace</t>
  </si>
  <si>
    <t>Gratuit Prime</t>
  </si>
  <si>
    <t>amazon.fr</t>
  </si>
  <si>
    <t>Rapide, retours faciles, vérifier vendeur</t>
  </si>
  <si>
    <t>Alltricks</t>
  </si>
  <si>
    <t>Online vélo/outdoor</t>
  </si>
  <si>
    <t>Salomon, Garmin, accessoires</t>
  </si>
  <si>
    <t>alltricks.fr</t>
  </si>
  <si>
    <t>Fort sur vélo, trail, GPS</t>
  </si>
  <si>
    <t>USA (ship mondial possible)</t>
  </si>
  <si>
    <t>Toutes marques + MDD REI</t>
  </si>
  <si>
    <t>Référence USA, programme membres</t>
  </si>
  <si>
    <t>Backcountry</t>
  </si>
  <si>
    <t>USA (ship mondial)</t>
  </si>
  <si>
    <t>Arc'teryx, Patagonia, Black Diamond</t>
  </si>
  <si>
    <t>backcountry.com</t>
  </si>
  <si>
    <t>Grand choix, Gearheads conseils</t>
  </si>
  <si>
    <t>Moosejaw</t>
  </si>
  <si>
    <t>Online + Retail</t>
  </si>
  <si>
    <t>Patagonia, The North Face, Osprey</t>
  </si>
  <si>
    <t>moosejaw.com</t>
  </si>
  <si>
    <t>Promos fréquentes</t>
  </si>
  <si>
    <t>Campsaver</t>
  </si>
  <si>
    <t>MSR, Big Agnes, Western Mtn</t>
  </si>
  <si>
    <t>campsaver.com</t>
  </si>
  <si>
    <t>Fins de série, bonnes affaires</t>
  </si>
  <si>
    <t>Amazon.com</t>
  </si>
  <si>
    <t>USA, mondial</t>
  </si>
  <si>
    <t>amazon.com</t>
  </si>
  <si>
    <t>Vérifier vendeurs officiels</t>
  </si>
  <si>
    <t>Garage Grown Gear</t>
  </si>
  <si>
    <t>Online cottage</t>
  </si>
  <si>
    <t>Durston, Enlightened Equipment, UGQ</t>
  </si>
  <si>
    <t>garagegrowngear.com</t>
  </si>
  <si>
    <t>Spécialiste marques cottage</t>
  </si>
  <si>
    <t>Outdoor Research</t>
  </si>
  <si>
    <t>Direct</t>
  </si>
  <si>
    <t>outdoorresearch.com</t>
  </si>
  <si>
    <t>Vente directe fabricant</t>
  </si>
  <si>
    <t>Patagonia.com</t>
  </si>
  <si>
    <t>Worn Wear, réparations</t>
  </si>
  <si>
    <t>Osprey Direct</t>
  </si>
  <si>
    <t>Garantie All Mighty</t>
  </si>
  <si>
    <t>MSR Direct</t>
  </si>
  <si>
    <t>MSR, Therm-a-Rest, Platypus</t>
  </si>
  <si>
    <t>Cascade Designs family</t>
  </si>
  <si>
    <t>Vente directe</t>
  </si>
  <si>
    <t>Macpac</t>
  </si>
  <si>
    <t>Australie, NZ</t>
  </si>
  <si>
    <t>Marques locales + internationales</t>
  </si>
  <si>
    <t>macpac.com.au</t>
  </si>
  <si>
    <t>Référence Océanie</t>
  </si>
  <si>
    <t>Paddy Pallin</t>
  </si>
  <si>
    <t>paddypallin.com.au</t>
  </si>
  <si>
    <t>Institution australienne</t>
  </si>
  <si>
    <t>Montbell Japan</t>
  </si>
  <si>
    <t>Japon, Asie</t>
  </si>
  <si>
    <t>Montbell + marques japonaises</t>
  </si>
  <si>
    <t>montbell.jp</t>
  </si>
  <si>
    <t>Qualité japonaise</t>
  </si>
  <si>
    <t>MATRICE DE COMPATIBILITÉS</t>
  </si>
  <si>
    <t>Produit Principal</t>
  </si>
  <si>
    <t>Compatible Avec</t>
  </si>
  <si>
    <t>Type de Compatibilité</t>
  </si>
  <si>
    <t>Attention</t>
  </si>
  <si>
    <t>Soto WindMaster (P024)</t>
  </si>
  <si>
    <t>Cartouches filetage 7/16 UNEF (EN417)</t>
  </si>
  <si>
    <t>Standard universel</t>
  </si>
  <si>
    <t>Compatible MSR IsoPro, Primus, Coleman, Campingaz CV</t>
  </si>
  <si>
    <t>Éviter Campingaz perçable (non compatible)</t>
  </si>
  <si>
    <t>Jetboil MiniMo (P027)</t>
  </si>
  <si>
    <t>Cartouches filetage 7/16 UNEF</t>
  </si>
  <si>
    <t>Toutes cartouches vissables standard</t>
  </si>
  <si>
    <t>Système FluxRing optimisé Jetboil</t>
  </si>
  <si>
    <t>Jetboil Stash (P028)</t>
  </si>
  <si>
    <t>Pot 0.8L Jetboil uniquement</t>
  </si>
  <si>
    <t>Propriétaire</t>
  </si>
  <si>
    <t>Heat exchanger spécifique au pot inclus</t>
  </si>
  <si>
    <t>Autres pots perdent efficacité</t>
  </si>
  <si>
    <t>MSR WhisperLite Universal</t>
  </si>
  <si>
    <t>White gas, essence, diesel, kérosène</t>
  </si>
  <si>
    <t>Multi-fuel</t>
  </si>
  <si>
    <t>Nécessite bouteille MSR fuel</t>
  </si>
  <si>
    <t>Nettoyer entre combustibles différents</t>
  </si>
  <si>
    <t>BRS-3000T (P026)</t>
  </si>
  <si>
    <t>Privilégier petites casseroles légères</t>
  </si>
  <si>
    <t>Instable avec grands pots</t>
  </si>
  <si>
    <t>Popotes</t>
  </si>
  <si>
    <t>GSI Pinnacle Dualist (P029)</t>
  </si>
  <si>
    <t>Tous réchauds standards</t>
  </si>
  <si>
    <t>Universel</t>
  </si>
  <si>
    <t>Optimisé pour Jetboil/MSR avec couvercle</t>
  </si>
  <si>
    <t>Diamètre Ø18cm</t>
  </si>
  <si>
    <t>Snow Peak Ti-Mini Solo (P030)</t>
  </si>
  <si>
    <t>Soto WindMaster, Amicus</t>
  </si>
  <si>
    <t>Optimisé</t>
  </si>
  <si>
    <t>Supports 4Flex idéaux pour pot titane</t>
  </si>
  <si>
    <t>Éviter BRS (instable)</t>
  </si>
  <si>
    <t>MSR Fusion Ceramic (P031)</t>
  </si>
  <si>
    <t>Tous réchauds canister</t>
  </si>
  <si>
    <t>Base plate pour stabilité</t>
  </si>
  <si>
    <t>Éviter flamme directe haute</t>
  </si>
  <si>
    <t>Filtration</t>
  </si>
  <si>
    <t>Sawyer Squeeze (P035)</t>
  </si>
  <si>
    <t>Poches Sawyer, CNOC Vecto, Evernew</t>
  </si>
  <si>
    <t>Filetage 28mm</t>
  </si>
  <si>
    <t>CNOC plus durable que sachets Sawyer</t>
  </si>
  <si>
    <t>Éviter bouteilles rigides (pression)</t>
  </si>
  <si>
    <t>LifeStraw Peak Squeeze (P034)</t>
  </si>
  <si>
    <t>Poches LifeStraw, bouteilles standard</t>
  </si>
  <si>
    <t>Filetage standard</t>
  </si>
  <si>
    <t>Compatible goulots larges</t>
  </si>
  <si>
    <t>Vérifier joint étanchéité</t>
  </si>
  <si>
    <t>Katadyn BeFree (P036)</t>
  </si>
  <si>
    <t>Flask Katadyn BeFree UNIQUEMENT</t>
  </si>
  <si>
    <t>Filetage spécifique 42mm</t>
  </si>
  <si>
    <t>Non compatible Sawyer/CNOC</t>
  </si>
  <si>
    <t>Platypus GravityWorks (P037)</t>
  </si>
  <si>
    <t>Poches Platypus incluses</t>
  </si>
  <si>
    <t>Système complet dirty/clean bag</t>
  </si>
  <si>
    <t>Poches remplacement disponibles</t>
  </si>
  <si>
    <t>Tentes</t>
  </si>
  <si>
    <t>Durston X-Mid 2 (P007)</t>
  </si>
  <si>
    <t>Bâtons de marche 115-130cm</t>
  </si>
  <si>
    <t>Trekking pole tent</t>
  </si>
  <si>
    <t>2 bâtons requis pour montage</t>
  </si>
  <si>
    <t>Sans bâtons = tente inutilisable</t>
  </si>
  <si>
    <t>MLD DuoMid (P011)</t>
  </si>
  <si>
    <t>1 bâton ajustable + piquets</t>
  </si>
  <si>
    <t>Configuration single pole center</t>
  </si>
  <si>
    <t>Accessoire poteau carbone dispo</t>
  </si>
  <si>
    <t>Big Agnes Copper Spur (P006)</t>
  </si>
  <si>
    <t>Piquets DAC inclus</t>
  </si>
  <si>
    <t>Autoportante</t>
  </si>
  <si>
    <t>Compatible footprint BA optionnel</t>
  </si>
  <si>
    <t>Piquets MSR/Easton compatibles</t>
  </si>
  <si>
    <t>Toutes tentes UL</t>
  </si>
  <si>
    <t>Footprint/groundsheet</t>
  </si>
  <si>
    <t>Protection sol</t>
  </si>
  <si>
    <t>Tyvek ou Polycro en alternative</t>
  </si>
  <si>
    <t>Éviter bâches épaisses (poids)</t>
  </si>
  <si>
    <t>Frontales</t>
  </si>
  <si>
    <t>Petzl Actik CORE (P043)</t>
  </si>
  <si>
    <t>Batterie CORE ou 3xAAA</t>
  </si>
  <si>
    <t>Hybride</t>
  </si>
  <si>
    <t>CORE rechargeable incluse, AAA backup</t>
  </si>
  <si>
    <t>AAA lithium pour froid extrême</t>
  </si>
  <si>
    <t>Black Diamond Spot 400 (P047)</t>
  </si>
  <si>
    <t>3xAAA standard</t>
  </si>
  <si>
    <t>Piles</t>
  </si>
  <si>
    <t>Compatible BD rechargeable pack</t>
  </si>
  <si>
    <t>Upgrade CORE possible</t>
  </si>
  <si>
    <t>Nitecore NU25 UL (P044)</t>
  </si>
  <si>
    <t>Batterie intégrée USB-C</t>
  </si>
  <si>
    <t>Rechargeable fixe</t>
  </si>
  <si>
    <t>Compatible toutes batteries USB-C</t>
  </si>
  <si>
    <t>Pas de backup AAA</t>
  </si>
  <si>
    <t>Matelas R-value &lt; 3</t>
  </si>
  <si>
    <t>Sacs couchage été (+10°C)</t>
  </si>
  <si>
    <t>3 saisons chaud</t>
  </si>
  <si>
    <t>Klymit Static V (R1.5) = été uniquement</t>
  </si>
  <si>
    <t>Isoler du sol si frais</t>
  </si>
  <si>
    <t>Matelas R-value 4-5</t>
  </si>
  <si>
    <t>Sacs couchage 3 saisons (0°C)</t>
  </si>
  <si>
    <t>3 saisons</t>
  </si>
  <si>
    <t>Nemo Tensor (R5.4), NeoAir XLite (R4.5)</t>
  </si>
  <si>
    <t>Combo standard rando</t>
  </si>
  <si>
    <t>Matelas R-value &gt; 6</t>
  </si>
  <si>
    <t>Sacs couchage hiver (-10°C)</t>
  </si>
  <si>
    <t>4 saisons</t>
  </si>
  <si>
    <t>NeoAir XTherm (R7.3) + sac hiver</t>
  </si>
  <si>
    <t>Superposer matelas si extrême</t>
  </si>
  <si>
    <t>Quilts (P018, P019)</t>
  </si>
  <si>
    <t>Matelas avec straps/pad attachment</t>
  </si>
  <si>
    <t>Système quilt</t>
  </si>
  <si>
    <t>Sangles élastiques incluses ou Klymit V</t>
  </si>
  <si>
    <t>Matelas lisse glisse moins</t>
  </si>
  <si>
    <t>Salomon X Ultra (P059)</t>
  </si>
  <si>
    <t>Guêtres Salomon Trail Gaiters</t>
  </si>
  <si>
    <t>Compatible</t>
  </si>
  <si>
    <t>Système Quicklace</t>
  </si>
  <si>
    <t>Guêtres génériques OK</t>
  </si>
  <si>
    <t>Hoka Kaha (P058)</t>
  </si>
  <si>
    <t>Semelles Superfeet</t>
  </si>
  <si>
    <t>Support additionnel si besoin</t>
  </si>
  <si>
    <t>Volume chaussure généreux</t>
  </si>
  <si>
    <t>Sacs</t>
  </si>
  <si>
    <t>Osprey Atmos AG (P003)</t>
  </si>
  <si>
    <t>Poches eau 3L Osprey, Platypus, CamelBak</t>
  </si>
  <si>
    <t>Poche dédiée dos, tube routing</t>
  </si>
  <si>
    <t>Préférer poches légères</t>
  </si>
  <si>
    <t>Cotopaxi Allpa (P001)</t>
  </si>
  <si>
    <t>Gourdes poches latérales</t>
  </si>
  <si>
    <t>Pas de poche hydratation interne</t>
  </si>
  <si>
    <t>Utiliser gourdes externes</t>
  </si>
  <si>
    <t>Batteries</t>
  </si>
  <si>
    <t>Anker PowerCore (P046)</t>
  </si>
  <si>
    <t>USB-C PD, USB-A</t>
  </si>
  <si>
    <t>Charge rapide téléphones, frontales</t>
  </si>
  <si>
    <t>Câble USB-C inclure</t>
  </si>
  <si>
    <t>Goal Zero Nomad 10 (P048)</t>
  </si>
  <si>
    <t>USB-A output, câble 8mm</t>
  </si>
  <si>
    <t>Propriétaire output</t>
  </si>
  <si>
    <t>Charger powerbank, pas direct phone</t>
  </si>
  <si>
    <t>Utiliser en série avec batterie</t>
  </si>
  <si>
    <t>Solaire</t>
  </si>
  <si>
    <t>Panneaux solaires tous</t>
  </si>
  <si>
    <t>Batteries 10000+ mAh</t>
  </si>
  <si>
    <t>Panneaux chargent powerbank, pas direct</t>
  </si>
  <si>
    <t>Soleil direct requis</t>
  </si>
  <si>
    <t>GUIDE DES SUBSTITUTIONS</t>
  </si>
  <si>
    <t>Si un produit est indisponible, voici les alternatives recommandées classées par priorité</t>
  </si>
  <si>
    <t>Produit Original</t>
  </si>
  <si>
    <t>Substitution 1 (Prioritaire)</t>
  </si>
  <si>
    <t>Substitution 2</t>
  </si>
  <si>
    <t>Substitution 3 (Budget)</t>
  </si>
  <si>
    <t>Raison du Choix</t>
  </si>
  <si>
    <t>Différences Clés</t>
  </si>
  <si>
    <t>Cotopaxi Allpa 35L</t>
  </si>
  <si>
    <t>Osprey Farpoint 40</t>
  </si>
  <si>
    <t>Peak Design Travel 45L</t>
  </si>
  <si>
    <t>Même clamshell design, confort trek</t>
  </si>
  <si>
    <t>Farpoint +5L, Peak Design +prix</t>
  </si>
  <si>
    <t>Osprey Atmos AG 65</t>
  </si>
  <si>
    <t>Deuter Aircontact Lite</t>
  </si>
  <si>
    <t>Confort comparable, ventilation dos</t>
  </si>
  <si>
    <t>Baltoro +lourd, Deuter -cher</t>
  </si>
  <si>
    <t>Osprey Talon 22</t>
  </si>
  <si>
    <t>Deuter Speed Lite 21</t>
  </si>
  <si>
    <t>Légèreté et polyvalence similaires</t>
  </si>
  <si>
    <t>Miko +poches, REI -prix</t>
  </si>
  <si>
    <t>Big Agnes Copper Spur UL2</t>
  </si>
  <si>
    <t>Tente UL 2P</t>
  </si>
  <si>
    <t>Nemo Hornet Elite Osmo</t>
  </si>
  <si>
    <t>MSR Hubba Hubba LT</t>
  </si>
  <si>
    <t>Naturehike Cloud Up 2</t>
  </si>
  <si>
    <t>Poids et qualité comparables</t>
  </si>
  <si>
    <t>Hornet -espace, MSR +durable</t>
  </si>
  <si>
    <t>Durston X-Mid 2</t>
  </si>
  <si>
    <t>Tente UL 2P (poles)</t>
  </si>
  <si>
    <t>Tarptent Double Rainbow</t>
  </si>
  <si>
    <t>Six Moon Designs Lunar Duo</t>
  </si>
  <si>
    <t>Lanshan 2 Pro</t>
  </si>
  <si>
    <t>Même concept trekking pole tent</t>
  </si>
  <si>
    <t>Tarptent USA made, Lanshan -prix</t>
  </si>
  <si>
    <t>Nemo Dragonfly Osmo</t>
  </si>
  <si>
    <t>Autoportante comparable</t>
  </si>
  <si>
    <t>BA +légère, REI +spacieuse/lourde</t>
  </si>
  <si>
    <t>Tente budget</t>
  </si>
  <si>
    <t>Coleman Sundome</t>
  </si>
  <si>
    <t>Quechua Arpenaz 2</t>
  </si>
  <si>
    <t>Rapport qualité/prix similaire</t>
  </si>
  <si>
    <t>Kelty +légère, Coleman +durable</t>
  </si>
  <si>
    <t>Hilleberg Anjan 2 GT</t>
  </si>
  <si>
    <t>Hilleberg Nallo 2 GT</t>
  </si>
  <si>
    <t>Résistance météo extrême</t>
  </si>
  <si>
    <t>Nallo +légère, MSR -cher</t>
  </si>
  <si>
    <t>Western Mtn MegaLite</t>
  </si>
  <si>
    <t>Sac couchage premium</t>
  </si>
  <si>
    <t>Katabatic Alsek</t>
  </si>
  <si>
    <t>Duvet haute qualité</t>
  </si>
  <si>
    <t>FF même qualité, REI -cher</t>
  </si>
  <si>
    <t>Sac couchage 3 saisons</t>
  </si>
  <si>
    <t>Nemo Disco 15</t>
  </si>
  <si>
    <t>Performance 3 saisons similaire</t>
  </si>
  <si>
    <t>Nemo +spoon shape, Exped -cher</t>
  </si>
  <si>
    <t>Sea to Summit Spark 30</t>
  </si>
  <si>
    <t>Sac couchage UL été</t>
  </si>
  <si>
    <t>Western Mtn NanoLite</t>
  </si>
  <si>
    <t>Ultralight été</t>
  </si>
  <si>
    <t>FF +chaud, Kelty -prix</t>
  </si>
  <si>
    <t>Hammock Gear Econ Burrow</t>
  </si>
  <si>
    <t>Quilts cottage brands</t>
  </si>
  <si>
    <t>UGQ -cher, Katabatic +chaud</t>
  </si>
  <si>
    <t>Nemo Tensor All-Season</t>
  </si>
  <si>
    <t>Therm-a-Rest NeoAir XLite NXT</t>
  </si>
  <si>
    <t>Sea to Summit Ether Light XT</t>
  </si>
  <si>
    <t>Confort et isolation similaires</t>
  </si>
  <si>
    <t>TAR +léger, Klymit -isolant</t>
  </si>
  <si>
    <t>Therm-a-Rest NeoAir XLite</t>
  </si>
  <si>
    <t>Matelas UL</t>
  </si>
  <si>
    <t>Sea to Summit Ultralight</t>
  </si>
  <si>
    <t>Ultralight 3 saisons</t>
  </si>
  <si>
    <t>Nemo +léger, Exped +durable</t>
  </si>
  <si>
    <t>Primus Essential Trail</t>
  </si>
  <si>
    <t>Performance vent similaire</t>
  </si>
  <si>
    <t>MSR +stable, Amicus -prix</t>
  </si>
  <si>
    <t>Jetboil MiniMo</t>
  </si>
  <si>
    <t>Jetboil Flash</t>
  </si>
  <si>
    <t>Efficacité intégrée</t>
  </si>
  <si>
    <t>WindBurner +vent, Flash -simmer</t>
  </si>
  <si>
    <t>GSI Pinnacle Dualist</t>
  </si>
  <si>
    <t>Popote</t>
  </si>
  <si>
    <t>Set 2 personnes</t>
  </si>
  <si>
    <t>MSR +lourd, TOAKS solo</t>
  </si>
  <si>
    <t>Snow Peak Ti-Mini Solo</t>
  </si>
  <si>
    <t>Popote UL</t>
  </si>
  <si>
    <t>Evernew Ti Cup</t>
  </si>
  <si>
    <t>LIXADA Ti Pot</t>
  </si>
  <si>
    <t>Titane ultralight</t>
  </si>
  <si>
    <t>TOAKS comparable, Evernew +léger</t>
  </si>
  <si>
    <t>LifeStraw Peak Squeeze</t>
  </si>
  <si>
    <t>Filtre squeeze</t>
  </si>
  <si>
    <t>Sawyer Mini</t>
  </si>
  <si>
    <t>Filtration squeeze efficace</t>
  </si>
  <si>
    <t>Sawyer +durée vie, BeFree +débit</t>
  </si>
  <si>
    <t>Filtration fiable</t>
  </si>
  <si>
    <t>LifeStraw +compact, Mini -débit</t>
  </si>
  <si>
    <t>Filtre gravité</t>
  </si>
  <si>
    <t>Filtration groupe hands-free</t>
  </si>
  <si>
    <t>MSR +capacité, LifeStraw +léger</t>
  </si>
  <si>
    <t>Black Diamond Spot 400-R</t>
  </si>
  <si>
    <t>Frontale</t>
  </si>
  <si>
    <t>Nitecore NU27</t>
  </si>
  <si>
    <t>Polyvalence randonnée</t>
  </si>
  <si>
    <t>Actik +lumens, Tikkina -prix</t>
  </si>
  <si>
    <t>Frontale premium</t>
  </si>
  <si>
    <t>Petzl Actik (AAA)</t>
  </si>
  <si>
    <t>Rechargeable performante</t>
  </si>
  <si>
    <t>BD -prix, Ledlenser +focus</t>
  </si>
  <si>
    <t>Nitecore NU25 UL</t>
  </si>
  <si>
    <t>Frontale UL</t>
  </si>
  <si>
    <t>Nitecore NU20</t>
  </si>
  <si>
    <t>Ultralight rechargeable</t>
  </si>
  <si>
    <t>Bindi +léger, NU20 +autonomie</t>
  </si>
  <si>
    <t>Patagonia Torrentshell 3L</t>
  </si>
  <si>
    <t>Veste pluie</t>
  </si>
  <si>
    <t>Arc'teryx Zeta SL</t>
  </si>
  <si>
    <t>REI Rainier</t>
  </si>
  <si>
    <t>Imperméable 3 couches</t>
  </si>
  <si>
    <t>Zeta +respirant, OR +léger</t>
  </si>
  <si>
    <t>Veste premium</t>
  </si>
  <si>
    <t>Patagonia M10 Storm</t>
  </si>
  <si>
    <t>Arc'teryx Zeta AR</t>
  </si>
  <si>
    <t>Outdoor Research Aspire II</t>
  </si>
  <si>
    <t>Gore-Tex haute performance</t>
  </si>
  <si>
    <t>M10 +léger, Zeta +polyvalent</t>
  </si>
  <si>
    <t>Doudoune synthétique</t>
  </si>
  <si>
    <t>Isolation synthétique compressible</t>
  </si>
  <si>
    <t>Atom +stretch, Trek -prix</t>
  </si>
  <si>
    <t>Hoka Kaha 3 GTX</t>
  </si>
  <si>
    <t>Chaussures rando</t>
  </si>
  <si>
    <t>La Sportiva Nucleo High</t>
  </si>
  <si>
    <t>Amorti et support</t>
  </si>
  <si>
    <t>Quest +stable, Moab -prix</t>
  </si>
  <si>
    <t>Salomon X Ultra 4 Mid</t>
  </si>
  <si>
    <t>Chaussures rando légères</t>
  </si>
  <si>
    <t>La Sportiva TX Hike</t>
  </si>
  <si>
    <t>Merrell MQM 3 Mid</t>
  </si>
  <si>
    <t>Columbia Peakfreak</t>
  </si>
  <si>
    <t>Légèreté et agilité</t>
  </si>
  <si>
    <t>TX +technique, MQM +trail</t>
  </si>
  <si>
    <t>Salomon Speedcross 6</t>
  </si>
  <si>
    <t>La Sportiva Bushido III</t>
  </si>
  <si>
    <t>Inov-8 Mudclaw</t>
  </si>
  <si>
    <t>Grip agressif</t>
  </si>
  <si>
    <t>Bushido +technique, Altra +drop0</t>
  </si>
  <si>
    <t>MSR DynaLock Ascent Carbon</t>
  </si>
  <si>
    <t>Bâtons carbone</t>
  </si>
  <si>
    <t>Leki Cressida FX Carbon</t>
  </si>
  <si>
    <t>Légèreté et fiabilité</t>
  </si>
  <si>
    <t>BD +grip cork, Leki +ergo</t>
  </si>
  <si>
    <t>Bâtons alu</t>
  </si>
  <si>
    <t>Leki Legacy Lite</t>
  </si>
  <si>
    <t>REI Trailmade</t>
  </si>
  <si>
    <t>Durabilité budget</t>
  </si>
  <si>
    <t>Leki +léger, CMT -prix</t>
  </si>
  <si>
    <t>Leatherman Skeletool</t>
  </si>
  <si>
    <t>Gerber Suspension NXT</t>
  </si>
  <si>
    <t>Outil compact</t>
  </si>
  <si>
    <t>Wave +outils, Victorinox +léger</t>
  </si>
  <si>
    <t>KITS DE RÉFÉRENCE COMPLETS</t>
  </si>
  <si>
    <t>Configurations prêtes à l'emploi selon le type de voyage, climat et durée</t>
  </si>
  <si>
    <t>Kit</t>
  </si>
  <si>
    <t>Type de Voyage</t>
  </si>
  <si>
    <t>Durée</t>
  </si>
  <si>
    <t>Climat</t>
  </si>
  <si>
    <t>Niveau</t>
  </si>
  <si>
    <t>Budget Total</t>
  </si>
  <si>
    <t>Poids Total</t>
  </si>
  <si>
    <t>Liste Produits (IDs)</t>
  </si>
  <si>
    <t>Kit Cabine Essentiel</t>
  </si>
  <si>
    <t>Voyage urbain / avion</t>
  </si>
  <si>
    <t>1-2 semaines</t>
  </si>
  <si>
    <t>Débutant</t>
  </si>
  <si>
    <t>~350 €</t>
  </si>
  <si>
    <t>~4 kg</t>
  </si>
  <si>
    <t>P001 (Allpa 35L), P042 (Spot 400-R), P046 (Anker 10000), P069 (Packing Cubes), P076 (Serviette), P077 (Trousse)</t>
  </si>
  <si>
    <t>Kit minimaliste, 100% cabine</t>
  </si>
  <si>
    <t>Kit Cabine Premium</t>
  </si>
  <si>
    <t>Voyage business/digital nomad</t>
  </si>
  <si>
    <t>2-4 semaines</t>
  </si>
  <si>
    <t>Intermédiaire</t>
  </si>
  <si>
    <t>~600 €</t>
  </si>
  <si>
    <t>~5 kg</t>
  </si>
  <si>
    <t>P002 (Farpoint 40), P043 (Actik CORE), P047 (Nitecore NB10000), P048 (Goal Zero Nomad), P069, P053 (Nano Puff)</t>
  </si>
  <si>
    <t>Autonomie électrique, confort</t>
  </si>
  <si>
    <t>Kit Trek Ultralight</t>
  </si>
  <si>
    <t>Randonnée itinérante</t>
  </si>
  <si>
    <t>3-7 jours</t>
  </si>
  <si>
    <t>Avancé</t>
  </si>
  <si>
    <t>~1800 €</t>
  </si>
  <si>
    <t>~5.5 kg (base)</t>
  </si>
  <si>
    <t>P007 (X-Mid 2), P017 (Spark 30), P021 (NeoAir XLite), P024 (WindMaster), P030 (Ti-Mini), P034 (LifeStraw), P044 (NU25), P066 (Distance Carbon Z)</t>
  </si>
  <si>
    <t>Configuration gram-counter</t>
  </si>
  <si>
    <t>Kit Trek Standard</t>
  </si>
  <si>
    <t>Randonnée multi-jours</t>
  </si>
  <si>
    <t>5-10 jours</t>
  </si>
  <si>
    <t>~1200 €</t>
  </si>
  <si>
    <t>~8 kg (base)</t>
  </si>
  <si>
    <t>P006 (Copper Spur UL2), P015 (Magma 15), P020 (Tensor All-Season), P024 (WindMaster), P029 (Pinnacle Dualist), P035 (Sawyer), P042 (Spot 400-R), P064 (DynaLock)</t>
  </si>
  <si>
    <t>Équilibre confort/poids</t>
  </si>
  <si>
    <t>Kit Trek Budget</t>
  </si>
  <si>
    <t>Randonnée occasionnelle</t>
  </si>
  <si>
    <t>3-5 jours</t>
  </si>
  <si>
    <t>Été</t>
  </si>
  <si>
    <t>~10 kg (base)</t>
  </si>
  <si>
    <t>P009 (Stormbreak 2), P016 (Terra 15), P022 (Static V), P025 (Amicus), P037 (Peak Squeeze), P048 (Tikkina), P065 (Trail Back), P072 (AMK Mountain)</t>
  </si>
  <si>
    <t>Premier équipement qualité</t>
  </si>
  <si>
    <t>Kit Trek Famille</t>
  </si>
  <si>
    <t>Randonnée famille 4 pers</t>
  </si>
  <si>
    <t>~1500 €</t>
  </si>
  <si>
    <t>~18 kg (total)</t>
  </si>
  <si>
    <t>P010 (Half Dome 3), 2x sacs couchage, 2x matelas, P027 (MiniMo), P037 (GravityWorks 4L), 4x P042, P065 (x2)</t>
  </si>
  <si>
    <t>Confort prioritaire, poids partagé</t>
  </si>
  <si>
    <t>Kit Camping Car/Van</t>
  </si>
  <si>
    <t>Roadtrip / Vanlife</t>
  </si>
  <si>
    <t>Tous</t>
  </si>
  <si>
    <t>~800 €</t>
  </si>
  <si>
    <t>~12 kg</t>
  </si>
  <si>
    <t>P010 (Half Dome 3), P014 (MegaLite ou équiv.), P020 (Tensor), P027 (MiniMo), P029 (Pinnacle Dualist), P040 (Nalgene), P042, P049 (Boulder 50)</t>
  </si>
  <si>
    <t>Autonomie électrique complète</t>
  </si>
  <si>
    <t>Kit Bivouac Minimaliste</t>
  </si>
  <si>
    <t>Bivouac nature</t>
  </si>
  <si>
    <t>1-2 nuits</t>
  </si>
  <si>
    <t>~500 €</t>
  </si>
  <si>
    <t>~3 kg</t>
  </si>
  <si>
    <t>P011 (DuoMid), P019 (Enigma 20), P018 (quilt léger), P026 (BRS-3000T), P030 (Ti-Mini), P036 (BeFree)</t>
  </si>
  <si>
    <t>Ultra-minimaliste, expérimentés</t>
  </si>
  <si>
    <t>Kit GR20 / Alta Via</t>
  </si>
  <si>
    <t>Trek montagne technique</t>
  </si>
  <si>
    <t>10-15 jours</t>
  </si>
  <si>
    <t>Montagne été</t>
  </si>
  <si>
    <t>~9 kg</t>
  </si>
  <si>
    <t>P006 (Copper Spur), P015 (Magma 15), P020 (Tensor), P024 (WindMaster), P029, P035, P042, P064, P050 (Torrentshell), P058 (Kaha)</t>
  </si>
  <si>
    <t>Montagne, refuges possibles</t>
  </si>
  <si>
    <t>Kit Compostelle</t>
  </si>
  <si>
    <t>Chemin de St-Jacques</t>
  </si>
  <si>
    <t>30-40 jours</t>
  </si>
  <si>
    <t>Tempéré variable</t>
  </si>
  <si>
    <t>~900 €</t>
  </si>
  <si>
    <t>~7 kg</t>
  </si>
  <si>
    <t>P002 (Farpoint), P016 (Terra 15 léger), P022 (Static V), sac soie, P042, P050, P059 (X Ultra), P072</t>
  </si>
  <si>
    <t>Hébergements, peu de camping</t>
  </si>
  <si>
    <t>Kit Islande Été</t>
  </si>
  <si>
    <t>Trek Islande</t>
  </si>
  <si>
    <t>7-14 jours</t>
  </si>
  <si>
    <t>Froid humide</t>
  </si>
  <si>
    <t>~1600 €</t>
  </si>
  <si>
    <t>~10 kg</t>
  </si>
  <si>
    <t>P011 (Hubba Hubba), P015 (Magma 15), P023 (Tensor Extreme), P024, P029, P035, P043, P050, P052 (Beta SL), P058</t>
  </si>
  <si>
    <t>Météo imprévisible, vent</t>
  </si>
  <si>
    <t>Kit Japon Randonneur</t>
  </si>
  <si>
    <t>Trek + urbain Japon</t>
  </si>
  <si>
    <t>~1000 €</t>
  </si>
  <si>
    <t>~6 kg</t>
  </si>
  <si>
    <t>P001 (Allpa), P017 (Spark léger), P022 (matelas léger), P028 (Stash), P034, P042, P053, P059</t>
  </si>
  <si>
    <t>Refuges, transports, mixte</t>
  </si>
  <si>
    <t>Kit Laponie Hiver</t>
  </si>
  <si>
    <t>Expédition hivernale</t>
  </si>
  <si>
    <t>7-10 jours</t>
  </si>
  <si>
    <t>Hiver extrême (-30°C)</t>
  </si>
  <si>
    <t>Expert</t>
  </si>
  <si>
    <t>~3000 €</t>
  </si>
  <si>
    <t>~15 kg</t>
  </si>
  <si>
    <t>P013 (Anjan 2 GT), P014 (MegaLite -10°C), P023 (Tensor Extreme), MSR Reactor, P037 (gravité), P043, P052</t>
  </si>
  <si>
    <t>Équipement 4 saisons, pulka</t>
  </si>
  <si>
    <t>Kit Désert / Maroc</t>
  </si>
  <si>
    <t>Trek désertique</t>
  </si>
  <si>
    <t>Chaud sec</t>
  </si>
  <si>
    <t>P007 (X-Mid 2), P017 (Spark 30), P022 (Static V), P025 (Amicus), P035, P041 (pastilles), P044, protection solaire++</t>
  </si>
  <si>
    <t>Eau critique, chaleur</t>
  </si>
  <si>
    <t>Kit Jungle / Tropical</t>
  </si>
  <si>
    <t>Trek tropical</t>
  </si>
  <si>
    <t>Chaud humide</t>
  </si>
  <si>
    <t>~8 kg</t>
  </si>
  <si>
    <t>P008 (Hubba LT mesh), hamac, P017 (Spark léger), P024, P035 (filtre crucial), P043, anti-moustiques Permethrine, pharmacie renforcée</t>
  </si>
  <si>
    <t>Humidité, insectes, maladies</t>
  </si>
  <si>
    <t>Kit Nomade Digital</t>
  </si>
  <si>
    <t>Travail + voyage</t>
  </si>
  <si>
    <t>Longue durée</t>
  </si>
  <si>
    <t>~700 €</t>
  </si>
  <si>
    <t>P002 (Farpoint), P043, P046 (Anker), P048 (Nomad), P053, P069, laptop protection, adaptateurs</t>
  </si>
  <si>
    <t>Équipement tech prioritaire</t>
  </si>
  <si>
    <t>Kit Couple Aventure</t>
  </si>
  <si>
    <t>Trek couple</t>
  </si>
  <si>
    <t>~2200 €</t>
  </si>
  <si>
    <t>~14 kg (couple)</t>
  </si>
  <si>
    <t>P006 (Copper Spur UL2), 2x P015, 2x P020, P024, P029, P037 (GravityWorks), 2x P042, P064 (partage)</t>
  </si>
  <si>
    <t>Partage tente/cuisine/eau</t>
  </si>
  <si>
    <t>Kit Solo Aventurier</t>
  </si>
  <si>
    <t>Trek solo autonome</t>
  </si>
  <si>
    <t>~1400 €</t>
  </si>
  <si>
    <t>P007 (X-Mid 1 si dispo ou UL2 solo), P019 (Enigma), P021 (NeoAir), P024, P030, P034, P044, P066, P072</t>
  </si>
  <si>
    <t>Autonomie totale, ultra-léger</t>
  </si>
  <si>
    <t>RÉCAPITULATIF BUDGETS</t>
  </si>
  <si>
    <t>Catégorie Budget</t>
  </si>
  <si>
    <t>Fourchette</t>
  </si>
  <si>
    <t>Type de Kit</t>
  </si>
  <si>
    <t>Exemple</t>
  </si>
  <si>
    <t>Entrée de gamme</t>
  </si>
  <si>
    <t>400 - 700 €</t>
  </si>
  <si>
    <t>Budget / Débutant</t>
  </si>
  <si>
    <t>Kit Trek Budget, Kit Cabine</t>
  </si>
  <si>
    <t>Milieu de gamme</t>
  </si>
  <si>
    <t>700 - 1200 €</t>
  </si>
  <si>
    <t>Standard / Polyvalent</t>
  </si>
  <si>
    <t>Kit Trek Standard, Kit Compostelle</t>
  </si>
  <si>
    <t>1200 - 2000 €</t>
  </si>
  <si>
    <t>Premium / Avancé</t>
  </si>
  <si>
    <t>Kit Trek UL, Kit GR20</t>
  </si>
  <si>
    <t>2000+ €</t>
  </si>
  <si>
    <t>Expert / Conditions extrêmes</t>
  </si>
  <si>
    <t>Kit Laponie, Kit Alpinisme</t>
  </si>
  <si>
    <t>CONSEILS &amp; BONNES PRATIQUES</t>
  </si>
  <si>
    <t>CONSEILS D'ACHAT</t>
  </si>
  <si>
    <t>Thème</t>
  </si>
  <si>
    <t>Conseil</t>
  </si>
  <si>
    <t>Priorité</t>
  </si>
  <si>
    <t>Économie</t>
  </si>
  <si>
    <t>Piège à Éviter</t>
  </si>
  <si>
    <t>Timing</t>
  </si>
  <si>
    <t>Acheter hors saison (fin été/hiver) -20 à -40%</t>
  </si>
  <si>
    <t>Haute</t>
  </si>
  <si>
    <t>100-200€</t>
  </si>
  <si>
    <t>Ruptures modèles populaires</t>
  </si>
  <si>
    <t>Prix</t>
  </si>
  <si>
    <t>Comparer EU vs USA (souvent -15% USA)</t>
  </si>
  <si>
    <t>Moyenne</t>
  </si>
  <si>
    <t>50-150€</t>
  </si>
  <si>
    <t>Frais douane &gt;150€</t>
  </si>
  <si>
    <t>Privilégier garanties à vie (Osprey, Patagonia)</t>
  </si>
  <si>
    <t>Valeur long terme</t>
  </si>
  <si>
    <t>Garanties 'limitées' floues</t>
  </si>
  <si>
    <t>Acheter avec footprint inclus</t>
  </si>
  <si>
    <t>30-50€</t>
  </si>
  <si>
    <t>Footprint propriétaire cher</t>
  </si>
  <si>
    <t>Choisir température confort, pas limite</t>
  </si>
  <si>
    <t>Évite rachat</t>
  </si>
  <si>
    <t>Sous-estimer besoins thermiques</t>
  </si>
  <si>
    <t>Kit réchaud + popote compatibles ensemble</t>
  </si>
  <si>
    <t>20-40€</t>
  </si>
  <si>
    <t>Incompatibilités diamètres</t>
  </si>
  <si>
    <t>Filtres</t>
  </si>
  <si>
    <t>Préférer Sawyer (garantie à vie)</t>
  </si>
  <si>
    <t>50€/an</t>
  </si>
  <si>
    <t>Pastilles seules</t>
  </si>
  <si>
    <t>Essayer en fin de journée (pieds gonflés)</t>
  </si>
  <si>
    <t>Évite retour</t>
  </si>
  <si>
    <t>Commander sans essai</t>
  </si>
  <si>
    <t>Électronique</t>
  </si>
  <si>
    <t>Batteries USB-C PD charge rapide</t>
  </si>
  <si>
    <t>Temps charge</t>
  </si>
  <si>
    <t>Ancien USB-A lent</t>
  </si>
  <si>
    <t>Seconde main</t>
  </si>
  <si>
    <t>Patagonia Worn Wear, Vinted outdoor</t>
  </si>
  <si>
    <t>40-60%</t>
  </si>
  <si>
    <t>État non vérifié</t>
  </si>
  <si>
    <t>CONSEILS D'ENTRETIEN</t>
  </si>
  <si>
    <t>Équipement</t>
  </si>
  <si>
    <t>Entretien</t>
  </si>
  <si>
    <t>Fréquence</t>
  </si>
  <si>
    <t>À Ne Jamais Faire</t>
  </si>
  <si>
    <t>Machine délicat, sécher balles tennis</t>
  </si>
  <si>
    <t>1-2x/an max</t>
  </si>
  <si>
    <t>Nikwax Down Wash</t>
  </si>
  <si>
    <t>Pressing, stockage comprimé</t>
  </si>
  <si>
    <t>Sécher complètement avant rangement</t>
  </si>
  <si>
    <t>Après sortie</t>
  </si>
  <si>
    <t>Eau + éponge</t>
  </si>
  <si>
    <t>Machine, rangement humide</t>
  </si>
  <si>
    <t>Imperméabilisation</t>
  </si>
  <si>
    <t>Réimperméabiliser coutures et fly</t>
  </si>
  <si>
    <t>1-2 ans</t>
  </si>
  <si>
    <t>Seam Grip, Nikwax TX</t>
  </si>
  <si>
    <t>Silicone sur PU</t>
  </si>
  <si>
    <t>Matelas</t>
  </si>
  <si>
    <t>Utiliser pompe (bouche=humidité)</t>
  </si>
  <si>
    <t>Chaque usage</t>
  </si>
  <si>
    <t>Pompe intégrée</t>
  </si>
  <si>
    <t>Sur-gonflage</t>
  </si>
  <si>
    <t>Filtres eau</t>
  </si>
  <si>
    <t>Backflush après utilisation</t>
  </si>
  <si>
    <t>Seringue incluse</t>
  </si>
  <si>
    <t>Laisser geler</t>
  </si>
  <si>
    <t>Vestes imperméables</t>
  </si>
  <si>
    <t>Laver puis réactiver DWR sèche-linge</t>
  </si>
  <si>
    <t>3-5 lavages</t>
  </si>
  <si>
    <t>Nikwax Tech Wash</t>
  </si>
  <si>
    <t>Adoucissant</t>
  </si>
  <si>
    <t>Nettoyer, sécher, réimperméabiliser</t>
  </si>
  <si>
    <t>Après boue</t>
  </si>
  <si>
    <t>Nikwax Footwear</t>
  </si>
  <si>
    <t>Séchage radiateur</t>
  </si>
  <si>
    <t>Nettoyer brûleur, vérifier joints</t>
  </si>
  <si>
    <t>Chaque saison</t>
  </si>
  <si>
    <t>Alcool isopropylique</t>
  </si>
  <si>
    <t>Eau dans mécanisme</t>
  </si>
  <si>
    <t>Couteaux</t>
  </si>
  <si>
    <t>Huiler articulations, affûter lame</t>
  </si>
  <si>
    <t>Mensuel</t>
  </si>
  <si>
    <t>Huile minérale</t>
  </si>
  <si>
    <t>Lave-vaisselle</t>
  </si>
  <si>
    <t>Retirer piles si stockage long</t>
  </si>
  <si>
    <t>Avant stockage</t>
  </si>
  <si>
    <t>Piles dans appareil</t>
  </si>
  <si>
    <t>SIGNES DE REMPLACEMENT</t>
  </si>
  <si>
    <t>Durée Vie</t>
  </si>
  <si>
    <t>Signes Usure</t>
  </si>
  <si>
    <t>Action</t>
  </si>
  <si>
    <t>Sacs couchage</t>
  </si>
  <si>
    <t>10-15 ans</t>
  </si>
  <si>
    <t>Perte loft, plumes sortent</t>
  </si>
  <si>
    <t>Réparer ou recycler</t>
  </si>
  <si>
    <t>Quand temp non atteinte</t>
  </si>
  <si>
    <t>5-8 ans</t>
  </si>
  <si>
    <t>Fuites récurrentes</t>
  </si>
  <si>
    <t>Kit patch, puis remplacer</t>
  </si>
  <si>
    <t>Avant trek critique</t>
  </si>
  <si>
    <t>5-10 ans</t>
  </si>
  <si>
    <t>Délamination PU, coutures</t>
  </si>
  <si>
    <t>Réimperméabiliser ou remplacer</t>
  </si>
  <si>
    <t>Avant saison</t>
  </si>
  <si>
    <t>800-1500 km</t>
  </si>
  <si>
    <t>Semelle usée, membrane percée</t>
  </si>
  <si>
    <t>Ressemelage ou remplacer</t>
  </si>
  <si>
    <t>1 mois avant trek</t>
  </si>
  <si>
    <t>Selon spéc</t>
  </si>
  <si>
    <t>Débit ralenti malgré nettoyage</t>
  </si>
  <si>
    <t>Remplacer cartouche</t>
  </si>
  <si>
    <t>Avant voyage</t>
  </si>
  <si>
    <t>Batteries frontales</t>
  </si>
  <si>
    <t>300-500 cycles</t>
  </si>
  <si>
    <t>Autonomie réduite &gt;50%</t>
  </si>
  <si>
    <t>Remplacer batterie</t>
  </si>
  <si>
    <t>Acheter backup</t>
  </si>
  <si>
    <t>3-5 ans</t>
  </si>
  <si>
    <t>Fissures, mécanisme KO</t>
  </si>
  <si>
    <t>Remplacer segments</t>
  </si>
  <si>
    <t>Vérifier chaque saison</t>
  </si>
  <si>
    <t>Vestes</t>
  </si>
  <si>
    <t>DWR non réactivable</t>
  </si>
  <si>
    <t>Réparer chez marque</t>
  </si>
  <si>
    <t>Fin saison</t>
  </si>
  <si>
    <t>CONSEILS DE STOCKAGE</t>
  </si>
  <si>
    <t>Stockage Correct</t>
  </si>
  <si>
    <t>Environnement</t>
  </si>
  <si>
    <t>Erreur Courante</t>
  </si>
  <si>
    <t>Conséquence</t>
  </si>
  <si>
    <t>Suspendus ou grand sac coton, PAS comprimés</t>
  </si>
  <si>
    <t>Sec, aéré, sombre</t>
  </si>
  <si>
    <t>Sac compression</t>
  </si>
  <si>
    <t>Perte définitive loft</t>
  </si>
  <si>
    <t>Déroulés, valve ouverte</t>
  </si>
  <si>
    <t>Température stable</t>
  </si>
  <si>
    <t>Roulés serrés</t>
  </si>
  <si>
    <t>Plis, délamination</t>
  </si>
  <si>
    <t>Sèches, en vrac grand sac</t>
  </si>
  <si>
    <t>Sec, frais, sombre</t>
  </si>
  <si>
    <t>Humide ou serré</t>
  </si>
  <si>
    <t>Moisissures, hydrolyse</t>
  </si>
  <si>
    <t>Embauchoirs ou papier, aérées</t>
  </si>
  <si>
    <t>Sec, T° ambiante</t>
  </si>
  <si>
    <t>Plastique fermé</t>
  </si>
  <si>
    <t>Moisissures</t>
  </si>
  <si>
    <t>Détachés de cartouche</t>
  </si>
  <si>
    <t>Intérieur, sec</t>
  </si>
  <si>
    <t>Cartouche vissée</t>
  </si>
  <si>
    <t>Fuite, corrosion</t>
  </si>
  <si>
    <t>Chargées 40-60%</t>
  </si>
  <si>
    <t>15-25°C</t>
  </si>
  <si>
    <t>0% ou 100%</t>
  </si>
  <si>
    <t>Dégradation cellules</t>
  </si>
  <si>
    <t>Vêtements tech</t>
  </si>
  <si>
    <t>Cintres ou pliés lâches</t>
  </si>
  <si>
    <t>Penderie aérée</t>
  </si>
  <si>
    <t>Comprimés longtemps</t>
  </si>
  <si>
    <t>Plis membrane</t>
  </si>
  <si>
    <t>SOURCES &amp; RÉFÉRENCES</t>
  </si>
  <si>
    <t>TESTS &amp; COMPARATIFS INDÉPENDANTS</t>
  </si>
  <si>
    <t>Fiabilité</t>
  </si>
  <si>
    <t>URL</t>
  </si>
  <si>
    <t>Tests terrain</t>
  </si>
  <si>
    <t>Équipement outdoor complet</t>
  </si>
  <si>
    <t>★★★★★</t>
  </si>
  <si>
    <t>outdoorgearlab.com</t>
  </si>
  <si>
    <t>Randonnée, ultralight</t>
  </si>
  <si>
    <t>cleverhiker.com</t>
  </si>
  <si>
    <t>Tentes, sacs couchage, UL</t>
  </si>
  <si>
    <t>switchbacktravel.com</t>
  </si>
  <si>
    <t>Wirecutter (NYT)</t>
  </si>
  <si>
    <t>Tests consommateurs</t>
  </si>
  <si>
    <t>Best-of multi-catégories</t>
  </si>
  <si>
    <t>nytimes.com/wirecutter</t>
  </si>
  <si>
    <t>REI Expert Advice</t>
  </si>
  <si>
    <t>Guides experts</t>
  </si>
  <si>
    <t>Conseils achat, tests</t>
  </si>
  <si>
    <t>★★★★☆</t>
  </si>
  <si>
    <t>rei.com/learn</t>
  </si>
  <si>
    <t>The Trek</t>
  </si>
  <si>
    <t>Thru-hiking, quilts</t>
  </si>
  <si>
    <t>thetrek.co</t>
  </si>
  <si>
    <t>Section Hiker</t>
  </si>
  <si>
    <t>Ultralight, technique</t>
  </si>
  <si>
    <t>sectionhiker.com</t>
  </si>
  <si>
    <t>Backpacking Light</t>
  </si>
  <si>
    <t>Forum expert</t>
  </si>
  <si>
    <t>Ultralight avancé</t>
  </si>
  <si>
    <t>backpackinglight.com</t>
  </si>
  <si>
    <t>Adventure Alan</t>
  </si>
  <si>
    <t>UL gear reviews</t>
  </si>
  <si>
    <t>adventurealan.com</t>
  </si>
  <si>
    <t>Outdoor général</t>
  </si>
  <si>
    <t>gearjunkie.com</t>
  </si>
  <si>
    <t>Outdoor Life</t>
  </si>
  <si>
    <t>Camping, survie</t>
  </si>
  <si>
    <t>★★★☆☆</t>
  </si>
  <si>
    <t>outdoorlife.com</t>
  </si>
  <si>
    <t>COMMUNAUTÉS &amp; FORUMS</t>
  </si>
  <si>
    <t>Forum communauté</t>
  </si>
  <si>
    <t>Ultralight gear, gram counting</t>
  </si>
  <si>
    <t>reddit.com/r/Ultralight</t>
  </si>
  <si>
    <t>Équipement camping général</t>
  </si>
  <si>
    <t>reddit.com/r/CampingGear</t>
  </si>
  <si>
    <t>Reddit r/onebag</t>
  </si>
  <si>
    <t>Voyage léger, one bag</t>
  </si>
  <si>
    <t>reddit.com/r/onebag</t>
  </si>
  <si>
    <t>Backpacking Light Forums</t>
  </si>
  <si>
    <t>Discussions techniques UL</t>
  </si>
  <si>
    <t>backpackinglight.com/forums</t>
  </si>
  <si>
    <t>Randonner Léger</t>
  </si>
  <si>
    <t>Forum FR</t>
  </si>
  <si>
    <t>Communauté francophone UL</t>
  </si>
  <si>
    <t>randonner-leger.org</t>
  </si>
  <si>
    <t>Facebook Hiking Groups</t>
  </si>
  <si>
    <t>Groupes sociaux</t>
  </si>
  <si>
    <t>Retours terrain variés</t>
  </si>
  <si>
    <t>SITES FABRICANTS OFFICIELS</t>
  </si>
  <si>
    <t>Information</t>
  </si>
  <si>
    <t>Garantie détaillée</t>
  </si>
  <si>
    <t>Specs, garantie All Mighty</t>
  </si>
  <si>
    <t>Specs, Ironclad, Worn Wear</t>
  </si>
  <si>
    <t>MSR / Cascade Designs</t>
  </si>
  <si>
    <t>Specs, service, pièces</t>
  </si>
  <si>
    <t>Specs, garantie, réparations</t>
  </si>
  <si>
    <t>Nemo Equipment</t>
  </si>
  <si>
    <t>Specs, garantie</t>
  </si>
  <si>
    <t>Specs, garantie, sécurité</t>
  </si>
  <si>
    <t>Specs, garantie 2-10 ans</t>
  </si>
  <si>
    <t>Specs filtres, garantie à vie</t>
  </si>
  <si>
    <t>Specs filtres, traitement eau</t>
  </si>
  <si>
    <t>Specs sacs couchage premium</t>
  </si>
  <si>
    <t>RETAILERS &amp; DISTRIBUTEURS</t>
  </si>
  <si>
    <t>Utilité</t>
  </si>
  <si>
    <t>Fiabilité prix</t>
  </si>
  <si>
    <t>REI</t>
  </si>
  <si>
    <t>Retailer USA</t>
  </si>
  <si>
    <t>Prix référence USA, avis</t>
  </si>
  <si>
    <t>Retailer mondial</t>
  </si>
  <si>
    <t>Prix référence EU budget</t>
  </si>
  <si>
    <t>Retailer FR</t>
  </si>
  <si>
    <t>Prix EU, disponibilité</t>
  </si>
  <si>
    <t>Prix EU, promos</t>
  </si>
  <si>
    <t>Prix comparatifs, avis</t>
  </si>
  <si>
    <t>amazon.fr / amazon.com</t>
  </si>
  <si>
    <t>Prix USA, expertise</t>
  </si>
  <si>
    <t>Retailer DE</t>
  </si>
  <si>
    <t>Prix EU, grand choix</t>
  </si>
  <si>
    <t>MÉTHODOLOGIE DE SÉLECTION</t>
  </si>
  <si>
    <t>Critère</t>
  </si>
  <si>
    <t>Pondération</t>
  </si>
  <si>
    <t>Sources croisées</t>
  </si>
  <si>
    <t>Validation</t>
  </si>
  <si>
    <t>Qualité</t>
  </si>
  <si>
    <t>25%</t>
  </si>
  <si>
    <t>Durabilité, finitions, matériaux</t>
  </si>
  <si>
    <t>OGL, CleverHiker, REI</t>
  </si>
  <si>
    <t>Min 3 sources concordantes</t>
  </si>
  <si>
    <t>20%</t>
  </si>
  <si>
    <t>Rapport qualité/prix, budget cible</t>
  </si>
  <si>
    <t>REI, Decathlon, Amazon</t>
  </si>
  <si>
    <t>Prix moyen constaté</t>
  </si>
  <si>
    <t>Poids</t>
  </si>
  <si>
    <t>Légèreté pour catégorie</t>
  </si>
  <si>
    <t>Specs fabricant, tests</t>
  </si>
  <si>
    <t>Pesée si possible</t>
  </si>
  <si>
    <t>15%</t>
  </si>
  <si>
    <t>Achat facile EU + USA</t>
  </si>
  <si>
    <t>Retailers, fabricants</t>
  </si>
  <si>
    <t>Stock vérifié</t>
  </si>
  <si>
    <t>Garantie/SAV</t>
  </si>
  <si>
    <t>10%</t>
  </si>
  <si>
    <t>Réparabilité, durée garantie</t>
  </si>
  <si>
    <t>Sites officiels</t>
  </si>
  <si>
    <t>Conditions lues</t>
  </si>
  <si>
    <t>Avis terrain</t>
  </si>
  <si>
    <t>Retours utilisateurs long terme</t>
  </si>
  <si>
    <t>Reddit, forums</t>
  </si>
  <si>
    <t>Min 20 avis positifs</t>
  </si>
  <si>
    <t>GRAPHE RELATIONNEL DES PRODUITS</t>
  </si>
  <si>
    <t>Relations entre produits pour recommandations IA intelligentes</t>
  </si>
  <si>
    <t>ID Produit</t>
  </si>
  <si>
    <t>Nom Produit</t>
  </si>
  <si>
    <t>Compatible avec</t>
  </si>
  <si>
    <t>Complète</t>
  </si>
  <si>
    <t>Nécessite</t>
  </si>
  <si>
    <t>Remplace</t>
  </si>
  <si>
    <t>Synergie</t>
  </si>
  <si>
    <t>P069, P070, P032, P077</t>
  </si>
  <si>
    <t>P046, P042, P076</t>
  </si>
  <si>
    <t>P002, P004</t>
  </si>
  <si>
    <t>P069+P070: Organisation optimale cabine</t>
  </si>
  <si>
    <t>P069, P070, P008, P076</t>
  </si>
  <si>
    <t>P004, P046, P042</t>
  </si>
  <si>
    <t>P001, P079</t>
  </si>
  <si>
    <t>P004: Daypack détachable parfait</t>
  </si>
  <si>
    <t>P005, P070, P067, P068</t>
  </si>
  <si>
    <t>P006, P016, P011</t>
  </si>
  <si>
    <t>P079, P082</t>
  </si>
  <si>
    <t>P067+P068: Bâtons compatibles bretelles</t>
  </si>
  <si>
    <t>P016, P011, P019</t>
  </si>
  <si>
    <t>P023, P077</t>
  </si>
  <si>
    <t>P007, P008, P010, P081, P084</t>
  </si>
  <si>
    <t>P016+P011: Système couchage UL complet</t>
  </si>
  <si>
    <t>P016, P067, P068</t>
  </si>
  <si>
    <t>P067 ou P068</t>
  </si>
  <si>
    <t>P006, P008</t>
  </si>
  <si>
    <t>P067: Bâtons carbone optimaux 120cm</t>
  </si>
  <si>
    <t>Alpinlite</t>
  </si>
  <si>
    <t>P016, P019, P023</t>
  </si>
  <si>
    <t>P070, P077</t>
  </si>
  <si>
    <t>P016 ou P017</t>
  </si>
  <si>
    <t>P012, P015</t>
  </si>
  <si>
    <t>P019+P023: Confort UL maximal</t>
  </si>
  <si>
    <t>P011, P012, P013, P006</t>
  </si>
  <si>
    <t>P017, P018, P019</t>
  </si>
  <si>
    <t>P011: Combo UL référence</t>
  </si>
  <si>
    <t>P032, P033, P035</t>
  </si>
  <si>
    <t>P029, P041</t>
  </si>
  <si>
    <t>Cartouche gaz 7/16 UNEF</t>
  </si>
  <si>
    <t>P024, P028, P031</t>
  </si>
  <si>
    <t>P032+P033: Kit cuisine minimaliste complet</t>
  </si>
  <si>
    <t>P029, P030, P032, P033</t>
  </si>
  <si>
    <t>Cartouche gaz + Popote externe</t>
  </si>
  <si>
    <t>P025, P026, P027</t>
  </si>
  <si>
    <t>P029: Combo polyvalent optimal</t>
  </si>
  <si>
    <t>P040, P039, P041</t>
  </si>
  <si>
    <t>Poche compatible (incluse ou CNOC)</t>
  </si>
  <si>
    <t>P034, P036</t>
  </si>
  <si>
    <t>P041: Backup chimique recommandé</t>
  </si>
  <si>
    <t>P046, P047</t>
  </si>
  <si>
    <t>P043, P044, P045</t>
  </si>
  <si>
    <t>P046: Recharge terrain optimale</t>
  </si>
  <si>
    <t>P042, P043, P047, P048</t>
  </si>
  <si>
    <t>P048, P049</t>
  </si>
  <si>
    <t>P048: Autonomie prolongée solaire</t>
  </si>
  <si>
    <t>P053, P055, P057</t>
  </si>
  <si>
    <t>P051, P052</t>
  </si>
  <si>
    <t>P053: Système couches polyvalent</t>
  </si>
  <si>
    <t>P050, P055, P056, P057</t>
  </si>
  <si>
    <t>P054, P078</t>
  </si>
  <si>
    <t>P050+P055: Système 3 couches complet</t>
  </si>
  <si>
    <t>P067, P068, P003</t>
  </si>
  <si>
    <t>P058, P060, P061</t>
  </si>
  <si>
    <t>P067: Bâtons soulagent genoux</t>
  </si>
  <si>
    <t>P003, P059, P009</t>
  </si>
  <si>
    <t>P068, P069</t>
  </si>
  <si>
    <t>P009: Requis pour tente tarp-style</t>
  </si>
  <si>
    <t>Skeletool CX</t>
  </si>
  <si>
    <t>P001, P002, P003</t>
  </si>
  <si>
    <t>Usage quotidien multifonction</t>
  </si>
  <si>
    <t>Tous produits trek</t>
  </si>
  <si>
    <t>P074, P075</t>
  </si>
  <si>
    <t>P074+P075: Sécurité complète</t>
  </si>
  <si>
    <t>P001, P002, P077</t>
  </si>
  <si>
    <t>P001: Organisation optimale Allpa</t>
  </si>
  <si>
    <t>P024, P025, P032, P033</t>
  </si>
  <si>
    <t>Réchaud externe</t>
  </si>
  <si>
    <t>P030, P031</t>
  </si>
  <si>
    <t>P024: Combo stove+pot optimal</t>
  </si>
  <si>
    <t>P035, P034, P041</t>
  </si>
  <si>
    <t>P035: Filtration directe compatible</t>
  </si>
  <si>
    <t>MOTEUR DE RECHERCHE INTELLIGENT</t>
  </si>
  <si>
    <t>Trouvez les produits adaptés à votre voyage en partant de vos critères</t>
  </si>
  <si>
    <t>PAR TYPE DE VOYAGE</t>
  </si>
  <si>
    <t>Produits Indispensables</t>
  </si>
  <si>
    <t>Produits Recommandés</t>
  </si>
  <si>
    <t>Budget Estimé</t>
  </si>
  <si>
    <t>Poids Estimé</t>
  </si>
  <si>
    <t>Backpack</t>
  </si>
  <si>
    <t>Voyage sac à dos classique 2-4 semaines</t>
  </si>
  <si>
    <t>P001, P002, P042, P046, P050, P035</t>
  </si>
  <si>
    <t>P069, P076, P077, P032</t>
  </si>
  <si>
    <t>500-800€</t>
  </si>
  <si>
    <t>6-8 kg</t>
  </si>
  <si>
    <t>Trek</t>
  </si>
  <si>
    <t>Randonnée multi-jours montagne</t>
  </si>
  <si>
    <t>P003, P006, P016, P011, P024, P035, P067</t>
  </si>
  <si>
    <t>P029, P072, P074</t>
  </si>
  <si>
    <t>800-1200€</t>
  </si>
  <si>
    <t>8-12 kg</t>
  </si>
  <si>
    <t>UL (Ultralight)</t>
  </si>
  <si>
    <t>Minimalisme extrême &lt;5kg</t>
  </si>
  <si>
    <t>P006, P016, P013, P028, P044, P069</t>
  </si>
  <si>
    <t>P026, P036, P073</t>
  </si>
  <si>
    <t>1000-1500€</t>
  </si>
  <si>
    <t>3-5 kg</t>
  </si>
  <si>
    <t>Digital Nomad</t>
  </si>
  <si>
    <t>Travail à distance + voyage</t>
  </si>
  <si>
    <t>P001, P046, P047, P048, P042, P050</t>
  </si>
  <si>
    <t>P004, P069, P077</t>
  </si>
  <si>
    <t>600-900€</t>
  </si>
  <si>
    <t>5-7 kg</t>
  </si>
  <si>
    <t>Vanlife</t>
  </si>
  <si>
    <t>Vie en van/camping-car</t>
  </si>
  <si>
    <t>P017, P014, P027, P029, P037, P053</t>
  </si>
  <si>
    <t>P049, P070, P076</t>
  </si>
  <si>
    <t>700-1000€</t>
  </si>
  <si>
    <t>Tour du monde</t>
  </si>
  <si>
    <t>Voyage longue durée &gt;3 mois</t>
  </si>
  <si>
    <t>P002, P042, P046, P050, P053, P035, P072</t>
  </si>
  <si>
    <t>P033, P070, P076, P077</t>
  </si>
  <si>
    <t>7-10 kg</t>
  </si>
  <si>
    <t>Famille</t>
  </si>
  <si>
    <t>Voyage avec enfants</t>
  </si>
  <si>
    <t>P002, P008, P017, P015, P037, P045, P072</t>
  </si>
  <si>
    <t>P029, P068, P075</t>
  </si>
  <si>
    <t>600-1000€</t>
  </si>
  <si>
    <t>10-15 kg</t>
  </si>
  <si>
    <t>Week-end</t>
  </si>
  <si>
    <t>Sorties courtes 2-3 jours</t>
  </si>
  <si>
    <t>P004, P019, P045, P073</t>
  </si>
  <si>
    <t>P032, P039</t>
  </si>
  <si>
    <t>200-400€</t>
  </si>
  <si>
    <t>Alpinisme</t>
  </si>
  <si>
    <t>Haute montagne technique</t>
  </si>
  <si>
    <t>P007, P011, P016, P024, P043, P065, P067</t>
  </si>
  <si>
    <t>P041, P074, P075</t>
  </si>
  <si>
    <t>1500-2500€</t>
  </si>
  <si>
    <t>Course en sentier</t>
  </si>
  <si>
    <t>P061, P062, P039, P044, P073</t>
  </si>
  <si>
    <t>P036, P026</t>
  </si>
  <si>
    <t>400-700€</t>
  </si>
  <si>
    <t>1-2 kg</t>
  </si>
  <si>
    <t>PAR CLIMAT / DESTINATION</t>
  </si>
  <si>
    <t>Exemples destinations</t>
  </si>
  <si>
    <t>Équipement Essentiel</t>
  </si>
  <si>
    <t>À éviter</t>
  </si>
  <si>
    <t>Conseils clés</t>
  </si>
  <si>
    <t>Tropical</t>
  </si>
  <si>
    <t>Asie SE, Amérique centrale, Caraïbes</t>
  </si>
  <si>
    <t>P001, P050, P066, P035, P041, P076</t>
  </si>
  <si>
    <t>Duvets chauds, vestes lourdes</t>
  </si>
  <si>
    <t>Anti-humidité, léger, séchage rapide</t>
  </si>
  <si>
    <t>Hydratation, Protection soleil</t>
  </si>
  <si>
    <t>Désert</t>
  </si>
  <si>
    <t>Sahara, Atacama, Moyen-Orient</t>
  </si>
  <si>
    <t>P040, P041, P055, P074, P076</t>
  </si>
  <si>
    <t>Synthétiques épais</t>
  </si>
  <si>
    <t>Protection soleil max, hydratation++</t>
  </si>
  <si>
    <t>Eau, Isolation thermique</t>
  </si>
  <si>
    <t>Montagne</t>
  </si>
  <si>
    <t>Alpes, Pyrénées, Rocheuses</t>
  </si>
  <si>
    <t>P003, P006, P016, P011, P050, P053, P067</t>
  </si>
  <si>
    <t>Équipement non-technique</t>
  </si>
  <si>
    <t>Couches, météo variable</t>
  </si>
  <si>
    <t>Isolation, Traction</t>
  </si>
  <si>
    <t>Hiver</t>
  </si>
  <si>
    <t>Scandinavie, Canada, Islande</t>
  </si>
  <si>
    <t>P011, P017, P054, P053, P050, P059</t>
  </si>
  <si>
    <t>Équipement 3 saisons</t>
  </si>
  <si>
    <t>Système couches, R-value élevée</t>
  </si>
  <si>
    <t>Chaleur, Imperméabilité</t>
  </si>
  <si>
    <t>Humide</t>
  </si>
  <si>
    <t>UK, Bretagne, Forêts tropicales</t>
  </si>
  <si>
    <t>P050, P052, P005, P035, P076</t>
  </si>
  <si>
    <t>Coton, Non-imperméable</t>
  </si>
  <si>
    <t>Étanchéité prioritaire</t>
  </si>
  <si>
    <t>Imperméabilité</t>
  </si>
  <si>
    <t>Europe, Nouvelle-Zélande</t>
  </si>
  <si>
    <t>P002, P008, P017, P012, P050, P053</t>
  </si>
  <si>
    <t>Sur-équipement</t>
  </si>
  <si>
    <t>Polyvalence, modulaire</t>
  </si>
  <si>
    <t>Altitude</t>
  </si>
  <si>
    <t>Andes, Himalaya, &gt;3000m</t>
  </si>
  <si>
    <t>P011, P016, P024, P043, P074</t>
  </si>
  <si>
    <t>Équipement lourd</t>
  </si>
  <si>
    <t>Acclimatation, UL</t>
  </si>
  <si>
    <t>Légèreté, Isolation</t>
  </si>
  <si>
    <t>Côtier</t>
  </si>
  <si>
    <t>Méditerranée, Californie</t>
  </si>
  <si>
    <t>P066, P005, P076, P055</t>
  </si>
  <si>
    <t>Protection soleil, léger</t>
  </si>
  <si>
    <t>Protection UV</t>
  </si>
  <si>
    <t>Jungle</t>
  </si>
  <si>
    <t>Amazonie, Bornéo, Congo</t>
  </si>
  <si>
    <t>P050, P005, P035, P041, P076, P072</t>
  </si>
  <si>
    <t>Duvet, Équipement fragile</t>
  </si>
  <si>
    <t>Hamac &gt; tente, anti-moustique</t>
  </si>
  <si>
    <t>Étanchéité, Santé</t>
  </si>
  <si>
    <t>Arctique</t>
  </si>
  <si>
    <t>Groenland, Spitzberg</t>
  </si>
  <si>
    <t>P007, P011, P017, P054, P024</t>
  </si>
  <si>
    <t>Équipement été</t>
  </si>
  <si>
    <t>Expérience requise</t>
  </si>
  <si>
    <t>Survie</t>
  </si>
  <si>
    <t>PAR BUDGET</t>
  </si>
  <si>
    <t>Gamme</t>
  </si>
  <si>
    <t>Budget total</t>
  </si>
  <si>
    <t>Stratégie</t>
  </si>
  <si>
    <t>Marques prioritaires</t>
  </si>
  <si>
    <t>Produits phares</t>
  </si>
  <si>
    <t>Compromis acceptés</t>
  </si>
  <si>
    <t>Ultra-budget</t>
  </si>
  <si>
    <t>Decathlon + occasions</t>
  </si>
  <si>
    <t>Quechua, Forclaz, Naturehike</t>
  </si>
  <si>
    <t>P078, P079, P080, P081, P084</t>
  </si>
  <si>
    <t>Poids, Durabilité</t>
  </si>
  <si>
    <t>400-600€</t>
  </si>
  <si>
    <t>Mix budget + quelques références</t>
  </si>
  <si>
    <t>Decathlon, Kelty, Black Diamond</t>
  </si>
  <si>
    <t>P015, P019, P045, P048, P060, P068</t>
  </si>
  <si>
    <t>Poids, Confort</t>
  </si>
  <si>
    <t>Références solides, rapport Q/P</t>
  </si>
  <si>
    <t>Osprey, REI, Patagonia, MSR</t>
  </si>
  <si>
    <t>P002, P008, P012, P024, P035, P050</t>
  </si>
  <si>
    <t>900-1500€</t>
  </si>
  <si>
    <t>Meilleures références</t>
  </si>
  <si>
    <t>Osprey, Big Agnes, Patagonia, Petzl</t>
  </si>
  <si>
    <t>P001, P006, P016, P027, P042, P053</t>
  </si>
  <si>
    <t>Peu</t>
  </si>
  <si>
    <t>Ultra-premium</t>
  </si>
  <si>
    <t>Top absolu chaque catégorie</t>
  </si>
  <si>
    <t>Arc'teryx, Western Mountaineering, Hilleberg</t>
  </si>
  <si>
    <t>P007, P011, P052, P054, P057</t>
  </si>
  <si>
    <t>Aucun</t>
  </si>
  <si>
    <t>UL Budget</t>
  </si>
  <si>
    <t>UL accessible</t>
  </si>
  <si>
    <t>Durston, Nemo, Gossamer Gear</t>
  </si>
  <si>
    <t>P009, P013, P028, P044, P069</t>
  </si>
  <si>
    <t>Durabilité + prix</t>
  </si>
  <si>
    <t>Osprey, REI, Decathlon</t>
  </si>
  <si>
    <t>P002, P008, P017, P037, P045, P072</t>
  </si>
  <si>
    <t>Pro/Guide</t>
  </si>
  <si>
    <t>2000€+</t>
  </si>
  <si>
    <t>Fiabilité absolue</t>
  </si>
  <si>
    <t>Hilleberg, Arc'teryx, Rab</t>
  </si>
  <si>
    <t>P007, P011, P052, P067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</si>
</sst>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1" formatCode="$#,##0.00"/>
    <numFmt numFmtId="451" formatCode="€#,##0"/>
  </numFmts>
  <fonts count="14">
    <font>
      <sz val="11"/>
      <color theme="1"/>
      <name val="Calibri"/>
      <scheme val="minor"/>
    </font>
    <font>
      <b/>
      <i val="0"/>
      <sz val="18"/>
      <color rgb="FFFFFFFF"/>
      <name val="Aptos Narrow"/>
    </font>
    <font>
      <b val="0"/>
      <i val="0"/>
      <sz val="12"/>
      <color rgb="FFFFFFFF"/>
      <name val="Aptos Narrow"/>
    </font>
    <font>
      <b/>
      <i val="0"/>
      <sz val="12"/>
      <name val="Aptos Narrow"/>
    </font>
    <font>
      <b/>
      <i val="0"/>
      <sz val="11"/>
      <color rgb="FFFFFFFF"/>
      <name val="Aptos Narrow"/>
    </font>
    <font>
      <name val="Calibri"/>
      <scheme val="minor"/>
    </font>
    <font>
      <b/>
      <i val="0"/>
      <sz val="16"/>
      <color rgb="FFFFFFFF"/>
      <name val="Aptos Narrow"/>
    </font>
    <font>
      <b/>
      <i val="0"/>
      <sz val="11"/>
      <name val="Aptos Narrow"/>
    </font>
    <font>
      <u/>
      <color rgb="FF0563C1"/>
      <name val="Calibri"/>
      <scheme val="minor"/>
    </font>
    <font>
      <b val="0"/>
      <i/>
      <sz val="11"/>
      <name val="Aptos Narrow"/>
    </font>
    <font>
      <b/>
      <i val="0"/>
      <sz val="12"/>
      <color rgb="FFFFFFFF"/>
      <name val="Aptos Narrow"/>
    </font>
    <font>
      <b val="0"/>
      <i val="0"/>
      <sz val="10"/>
      <name val="Aptos Narrow"/>
    </font>
    <font>
      <b val="0"/>
      <i/>
      <sz val="11"/>
      <color rgb="FF666666"/>
      <name val="Aptos Narrow"/>
    </font>
    <font>
      <b/>
      <i val="0"/>
      <sz val="14"/>
      <color rgb="FFFFFFFF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4A7BA7"/>
      </patternFill>
    </fill>
    <fill>
      <patternFill patternType="solid">
        <fgColor rgb="FFE0E0E0"/>
      </patternFill>
    </fill>
    <fill>
      <patternFill patternType="solid">
        <fgColor rgb="FFE8E8E8"/>
      </patternFill>
    </fill>
    <fill>
      <patternFill patternType="solid">
        <fgColor rgb="FFF8F9FA"/>
      </patternFill>
    </fill>
    <fill>
      <patternFill patternType="solid">
        <fgColor rgb="FFFFF9C4"/>
      </patternFill>
    </fill>
    <fill>
      <patternFill patternType="solid">
        <fgColor rgb="FFD9D9D9"/>
      </patternFill>
    </fill>
    <fill>
      <patternFill patternType="solid">
        <fgColor rgb="FFF5F7FA"/>
      </patternFill>
    </fill>
    <fill>
      <patternFill patternType="solid">
        <fgColor rgb="FF2E5984"/>
      </patternFill>
    </fill>
    <fill>
      <patternFill patternType="solid">
        <fgColor rgb="FFF5F8FC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1">
      <alignment horizontal="general" vertical="top"/>
    </xf>
  </cellStyleXfs>
  <cellXfs count="48">
    <xf numFmtId="0" fontId="0" fillId="0" borderId="1" xfId="0">
      <alignment vertical="top"/>
    </xf>
    <xf numFmtId="0" fontId="1" fillId="2" borderId="0" xfId="0">
      <alignment horizontal="center" vertical="top"/>
    </xf>
    <xf numFmtId="0" fontId="2" fillId="3" borderId="0" xfId="0">
      <alignment horizontal="center" vertical="top"/>
    </xf>
    <xf numFmtId="0" fontId="3" fillId="4" borderId="0" xfId="0">
      <alignment vertical="top"/>
    </xf>
    <xf numFmtId="0" fontId="4" fillId="2" borderId="0" xfId="0">
      <alignment vertical="top"/>
    </xf>
    <xf numFmtId="0" fontId="5" fillId="0" borderId="2" xfId="0">
      <alignment vertical="top"/>
    </xf>
    <xf numFmtId="0" fontId="3" fillId="4" borderId="0" xfId="0">
      <alignment horizontal="center" vertical="top"/>
    </xf>
    <xf numFmtId="0" fontId="4" fillId="2" borderId="0" xfId="0">
      <alignment horizontal="center" vertical="top"/>
    </xf>
    <xf numFmtId="0" fontId="5" fillId="0" borderId="3" xfId="0">
      <alignment vertical="top"/>
    </xf>
    <xf numFmtId="0" fontId="6" fillId="2" borderId="0" xfId="0">
      <alignment horizontal="center" vertical="top"/>
    </xf>
    <xf numFmtId="0" fontId="7" fillId="5" borderId="3" xfId="0">
      <alignment horizontal="center" vertical="top"/>
    </xf>
    <xf numFmtId="0" fontId="7" fillId="5" borderId="3" xfId="0">
      <alignment vertical="top"/>
    </xf>
    <xf numFmtId="0" fontId="5" fillId="0" borderId="3" xfId="0">
      <alignment horizontal="center" vertical="top"/>
    </xf>
    <xf numFmtId="0" fontId="4" fillId="2" borderId="3" xfId="0">
      <alignment vertical="top"/>
    </xf>
    <xf numFmtId="0" fontId="4" fillId="2" borderId="3" xfId="0">
      <alignment horizontal="center" vertical="top"/>
    </xf>
    <xf numFmtId="0" fontId="4" fillId="2" borderId="3" xfId="0">
      <alignment horizontal="center" vertical="center"/>
    </xf>
    <xf numFmtId="3" fontId="5" fillId="0" borderId="3" xfId="0">
      <alignment horizontal="center" vertical="top"/>
    </xf>
    <xf numFmtId="49" fontId="5" fillId="0" borderId="0" xfId="0">
      <alignment vertical="top"/>
    </xf>
    <xf numFmtId="431" fontId="5" fillId="0" borderId="0" xfId="0">
      <alignment vertical="top"/>
    </xf>
    <xf numFmtId="3" fontId="5" fillId="0" borderId="0" xfId="0">
      <alignment vertical="top"/>
    </xf>
    <xf numFmtId="0" fontId="5" fillId="0" borderId="3" xfId="0">
      <alignment vertical="center"/>
    </xf>
    <xf numFmtId="451" fontId="5" fillId="0" borderId="0" xfId="0">
      <alignment vertical="top"/>
    </xf>
    <xf numFmtId="0" fontId="8" fillId="0" borderId="3" xfId="0">
      <alignment vertical="top"/>
    </xf>
    <xf numFmtId="0" fontId="5" fillId="6" borderId="3" xfId="0">
      <alignment vertical="top"/>
    </xf>
    <xf numFmtId="0" fontId="8" fillId="6" borderId="3" xfId="0">
      <alignment vertical="top"/>
    </xf>
    <xf numFmtId="49" fontId="6" fillId="2" borderId="0" xfId="0">
      <alignment horizontal="center" vertical="center"/>
    </xf>
    <xf numFmtId="49" fontId="4" fillId="2" borderId="0" xfId="0">
      <alignment horizontal="center" vertical="center"/>
    </xf>
    <xf numFmtId="49" fontId="5" fillId="0" borderId="3" xfId="0">
      <alignment vertical="center"/>
    </xf>
    <xf numFmtId="49" fontId="5" fillId="7" borderId="3" xfId="0">
      <alignment vertical="center"/>
    </xf>
    <xf numFmtId="0" fontId="9" fillId="0" borderId="0" xfId="0">
      <alignment horizontal="center" vertical="top"/>
    </xf>
    <xf numFmtId="0" fontId="10" fillId="2" borderId="3" xfId="0">
      <alignment horizontal="center" vertical="top"/>
    </xf>
    <xf numFmtId="0" fontId="10" fillId="2" borderId="3" xfId="0">
      <alignment vertical="top"/>
    </xf>
    <xf numFmtId="0" fontId="3" fillId="8" borderId="0" xfId="0">
      <alignment vertical="top"/>
    </xf>
    <xf numFmtId="0" fontId="7" fillId="0" borderId="3" xfId="0">
      <alignment vertical="top"/>
    </xf>
    <xf numFmtId="0" fontId="6" fillId="2" borderId="0" xfId="0">
      <alignment horizontal="center" vertical="center"/>
    </xf>
    <xf numFmtId="0" fontId="3" fillId="8" borderId="0" xfId="0">
      <alignment horizontal="center" vertical="center"/>
    </xf>
    <xf numFmtId="0" fontId="4" fillId="2" borderId="0" xfId="0">
      <alignment horizontal="center" vertical="center"/>
    </xf>
    <xf numFmtId="0" fontId="11" fillId="0" borderId="4" xfId="0">
      <alignment vertical="center"/>
    </xf>
    <xf numFmtId="0" fontId="3" fillId="8" borderId="0" xfId="0">
      <alignment horizontal="center" vertical="top"/>
    </xf>
    <xf numFmtId="0" fontId="4" fillId="2" borderId="4" xfId="0">
      <alignment horizontal="center" vertical="top"/>
    </xf>
    <xf numFmtId="0" fontId="5" fillId="0" borderId="4" xfId="0">
      <alignment vertical="top"/>
    </xf>
    <xf numFmtId="0" fontId="12" fillId="0" borderId="0" xfId="0">
      <alignment vertical="top"/>
    </xf>
    <xf numFmtId="0" fontId="11" fillId="9" borderId="3" xfId="0">
      <alignment vertical="top"/>
    </xf>
    <xf numFmtId="0" fontId="11" fillId="0" borderId="3" xfId="0">
      <alignment vertical="top"/>
    </xf>
    <xf numFmtId="0" fontId="12" fillId="0" borderId="0" xfId="0">
      <alignment horizontal="center" vertical="top"/>
    </xf>
    <xf numFmtId="0" fontId="13" fillId="10" borderId="0" xfId="0">
      <alignment horizontal="center" vertical="center"/>
    </xf>
    <xf numFmtId="0" fontId="4" fillId="2" borderId="5" xfId="0">
      <alignment horizontal="center" vertical="center"/>
    </xf>
    <xf numFmtId="49" fontId="11" fillId="11" borderId="3" xfId="0">
      <alignment vertical="center"/>
    </xf>
  </cellXfs>
  <cellStyles count="1">
    <cellStyle name="Normal" xfId="0" builtinId="0"/>
  </cellStyles>
  <dxfs count="4">
    <dxf>
      <font>
        <color rgb="FF000000"/>
      </font>
      <fill>
        <patternFill patternType="solid">
          <fgColor rgb="FFFFD700"/>
          <bgColor rgb="FFFFD700"/>
        </patternFill>
      </fill>
    </dxf>
    <dxf>
      <font>
        <color rgb="FFFFFFFF"/>
      </font>
      <fill>
        <patternFill patternType="solid">
          <fgColor rgb="FF4A90D9"/>
          <bgColor rgb="FF4A90D9"/>
        </patternFill>
      </fill>
    </dxf>
    <dxf>
      <font>
        <color rgb="FF00000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8E8E8"/>
          <bgColor rgb="FFE8E8E8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Relationship Id="rId15" Type="http://schemas.openxmlformats.org/officeDocument/2006/relationships/theme" Target="theme/theme1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arget="https://osprey.com" Type="http://schemas.openxmlformats.org/officeDocument/2006/relationships/hyperlink" TargetMode="External"/><Relationship Id="rId2" Target="https://patagonia.com" Type="http://schemas.openxmlformats.org/officeDocument/2006/relationships/hyperlink" TargetMode="External"/><Relationship Id="rId3" Target="https://arcteryx.com" Type="http://schemas.openxmlformats.org/officeDocument/2006/relationships/hyperlink" TargetMode="External"/><Relationship Id="rId4" Target="https://msrgear.com" Type="http://schemas.openxmlformats.org/officeDocument/2006/relationships/hyperlink" TargetMode="External"/><Relationship Id="rId5" Target="https://bigagnes.com" Type="http://schemas.openxmlformats.org/officeDocument/2006/relationships/hyperlink" TargetMode="External"/><Relationship Id="rId6" Target="https://nemoequipment.com" Type="http://schemas.openxmlformats.org/officeDocument/2006/relationships/hyperlink" TargetMode="External"/><Relationship Id="rId7" Target="https://thermarest.com" Type="http://schemas.openxmlformats.org/officeDocument/2006/relationships/hyperlink" TargetMode="External"/><Relationship Id="rId8" Target="https://blackdiamondequipment.com" Type="http://schemas.openxmlformats.org/officeDocument/2006/relationships/hyperlink" TargetMode="External"/><Relationship Id="rId9" Target="https://petzl.com" Type="http://schemas.openxmlformats.org/officeDocument/2006/relationships/hyperlink" TargetMode="External"/><Relationship Id="rId10" Target="https://jetboil.com" Type="http://schemas.openxmlformats.org/officeDocument/2006/relationships/hyperlink" TargetMode="External"/><Relationship Id="rId11" Target="https://sfreg.net/soto" Type="http://schemas.openxmlformats.org/officeDocument/2006/relationships/hyperlink" TargetMode="External"/><Relationship Id="rId12" Target="https://gsioutdoors.com" Type="http://schemas.openxmlformats.org/officeDocument/2006/relationships/hyperlink" TargetMode="External"/><Relationship Id="rId13" Target="https://sawyer.com" Type="http://schemas.openxmlformats.org/officeDocument/2006/relationships/hyperlink" TargetMode="External"/><Relationship Id="rId14" Target="https://katadyn.com" Type="http://schemas.openxmlformats.org/officeDocument/2006/relationships/hyperlink" TargetMode="External"/><Relationship Id="rId15" Target="https://lifestraw.com" Type="http://schemas.openxmlformats.org/officeDocument/2006/relationships/hyperlink" TargetMode="External"/><Relationship Id="rId16" Target="https://platy.com" Type="http://schemas.openxmlformats.org/officeDocument/2006/relationships/hyperlink" TargetMode="External"/><Relationship Id="rId17" Target="https://seatosummit.com" Type="http://schemas.openxmlformats.org/officeDocument/2006/relationships/hyperlink" TargetMode="External"/><Relationship Id="rId18" Target="https://westernmountaineering.com" Type="http://schemas.openxmlformats.org/officeDocument/2006/relationships/hyperlink" TargetMode="External"/><Relationship Id="rId19" Target="https://enlightenedequipment.com" Type="http://schemas.openxmlformats.org/officeDocument/2006/relationships/hyperlink" TargetMode="External"/><Relationship Id="rId20" Target="https://durstongear.com" Type="http://schemas.openxmlformats.org/officeDocument/2006/relationships/hyperlink" TargetMode="External"/><Relationship Id="rId21" Target="https://zpacks.com" Type="http://schemas.openxmlformats.org/officeDocument/2006/relationships/hyperlink" TargetMode="External"/><Relationship Id="rId22" Target="https://hilleberg.com" Type="http://schemas.openxmlformats.org/officeDocument/2006/relationships/hyperlink" TargetMode="External"/><Relationship Id="rId23" Target="https://samaya-equipment.com" Type="http://schemas.openxmlformats.org/officeDocument/2006/relationships/hyperlink" TargetMode="External"/><Relationship Id="rId24" Target="https://thenorthface.com" Type="http://schemas.openxmlformats.org/officeDocument/2006/relationships/hyperlink" TargetMode="External"/><Relationship Id="rId25" Target="https://rei.com" Type="http://schemas.openxmlformats.org/officeDocument/2006/relationships/hyperlink" TargetMode="External"/><Relationship Id="rId26" Target="https://salomon.com" Type="http://schemas.openxmlformats.org/officeDocument/2006/relationships/hyperlink" TargetMode="External"/><Relationship Id="rId27" Target="https://merrell.com" Type="http://schemas.openxmlformats.org/officeDocument/2006/relationships/hyperlink" TargetMode="External"/><Relationship Id="rId28" Target="https://lasportiva.com" Type="http://schemas.openxmlformats.org/officeDocument/2006/relationships/hyperlink" TargetMode="External"/><Relationship Id="rId29" Target="https://hoka.com" Type="http://schemas.openxmlformats.org/officeDocument/2006/relationships/hyperlink" TargetMode="External"/><Relationship Id="rId30" Target="https://leatherman.com" Type="http://schemas.openxmlformats.org/officeDocument/2006/relationships/hyperlink" TargetMode="External"/><Relationship Id="rId31" Target="https://victorinox.com" Type="http://schemas.openxmlformats.org/officeDocument/2006/relationships/hyperlink" TargetMode="External"/><Relationship Id="rId32" Target="https://anker.com" Type="http://schemas.openxmlformats.org/officeDocument/2006/relationships/hyperlink" TargetMode="External"/><Relationship Id="rId33" Target="https://nitecore.com" Type="http://schemas.openxmlformats.org/officeDocument/2006/relationships/hyperlink" TargetMode="External"/><Relationship Id="rId34" Target="https://goalzero.com" Type="http://schemas.openxmlformats.org/officeDocument/2006/relationships/hyperlink" TargetMode="External"/><Relationship Id="rId35" Target="https://decathlon.com" Type="http://schemas.openxmlformats.org/officeDocument/2006/relationships/hyperlink" TargetMode="External"/><Relationship Id="rId36" Target="https://adventuremedicalkits.com" Type="http://schemas.openxmlformats.org/officeDocument/2006/relationships/hyperlink" TargetMode="External"/></Relationships>
</file>

<file path=xl/worksheets/_rels/sheet6.xml.rels><?xml version="1.0" encoding="UTF-8" standalone="yes"?>
<Relationships xmlns="http://schemas.openxmlformats.org/package/2006/relationships"><Relationship Id="rId1" Target="https://www.decathlon.fr" Type="http://schemas.openxmlformats.org/officeDocument/2006/relationships/hyperlink" TargetMode="External"/><Relationship Id="rId2" Target="https://www.snowleader.com" Type="http://schemas.openxmlformats.org/officeDocument/2006/relationships/hyperlink" TargetMode="External"/><Relationship Id="rId3" Target="https://www.hardloop.fr" Type="http://schemas.openxmlformats.org/officeDocument/2006/relationships/hyperlink" TargetMode="External"/><Relationship Id="rId4" Target="https://www.globetrotter.de" Type="http://schemas.openxmlformats.org/officeDocument/2006/relationships/hyperlink" TargetMode="External"/><Relationship Id="rId5" Target="https://www.trekkinn.com" Type="http://schemas.openxmlformats.org/officeDocument/2006/relationships/hyperlink" TargetMode="External"/><Relationship Id="rId6" Target="https://www.alpinstore.com" Type="http://schemas.openxmlformats.org/officeDocument/2006/relationships/hyperlink" TargetMode="External"/><Relationship Id="rId7" Target="https://www.i-trekkings.net" Type="http://schemas.openxmlformats.org/officeDocument/2006/relationships/hyperlink" TargetMode="External"/><Relationship Id="rId8" Target="https://www.sacados.com" Type="http://schemas.openxmlformats.org/officeDocument/2006/relationships/hyperlink" TargetMode="External"/><Relationship Id="rId9" Target="https://www.auvieuxcampeur.fr" Type="http://schemas.openxmlformats.org/officeDocument/2006/relationships/hyperlink" TargetMode="External"/><Relationship Id="rId10" Target="https://www.amazon.fr" Type="http://schemas.openxmlformats.org/officeDocument/2006/relationships/hyperlink" TargetMode="External"/><Relationship Id="rId11" Target="https://www.alltricks.fr" Type="http://schemas.openxmlformats.org/officeDocument/2006/relationships/hyperlink" TargetMode="External"/><Relationship Id="rId12" Target="https://www.rei.com" Type="http://schemas.openxmlformats.org/officeDocument/2006/relationships/hyperlink" TargetMode="External"/><Relationship Id="rId13" Target="https://www.backcountry.com" Type="http://schemas.openxmlformats.org/officeDocument/2006/relationships/hyperlink" TargetMode="External"/><Relationship Id="rId14" Target="https://www.moosejaw.com" Type="http://schemas.openxmlformats.org/officeDocument/2006/relationships/hyperlink" TargetMode="External"/><Relationship Id="rId15" Target="https://www.campsaver.com" Type="http://schemas.openxmlformats.org/officeDocument/2006/relationships/hyperlink" TargetMode="External"/><Relationship Id="rId16" Target="https://www.amazon.com" Type="http://schemas.openxmlformats.org/officeDocument/2006/relationships/hyperlink" TargetMode="External"/><Relationship Id="rId17" Target="https://www.garagegrowngear.com" Type="http://schemas.openxmlformats.org/officeDocument/2006/relationships/hyperlink" TargetMode="External"/><Relationship Id="rId18" Target="https://www.outdoorresearch.com" Type="http://schemas.openxmlformats.org/officeDocument/2006/relationships/hyperlink" TargetMode="External"/><Relationship Id="rId19" Target="https://www.patagonia.com" Type="http://schemas.openxmlformats.org/officeDocument/2006/relationships/hyperlink" TargetMode="External"/><Relationship Id="rId20" Target="https://www.osprey.com" Type="http://schemas.openxmlformats.org/officeDocument/2006/relationships/hyperlink" TargetMode="External"/><Relationship Id="rId21" Target="https://www.msrgear.com" Type="http://schemas.openxmlformats.org/officeDocument/2006/relationships/hyperlink" TargetMode="External"/><Relationship Id="rId22" Target="https://www.blackdiamondequipment.com" Type="http://schemas.openxmlformats.org/officeDocument/2006/relationships/hyperlink" TargetMode="External"/><Relationship Id="rId23" Target="https://www.macpac.com.au" Type="http://schemas.openxmlformats.org/officeDocument/2006/relationships/hyperlink" TargetMode="External"/><Relationship Id="rId24" Target="https://www.paddypallin.com.au" Type="http://schemas.openxmlformats.org/officeDocument/2006/relationships/hyperlink" TargetMode="External"/><Relationship Id="rId25" Target="https://www.montbell.jp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4CB5506-1D17-35F3-FFB8-65E8D1343BCE}" mc:Ignorable="x14ac xr xr2 xr3">
  <dimension ref="A1:GR1000"/>
  <sheetViews>
    <sheetView topLeftCell="A1" workbookViewId="0" tabSelected="1">
      <selection activeCell="A31" sqref="A31:C31"/>
    </sheetView>
  </sheetViews>
  <sheetFormatPr defaultRowHeight="15" defaultColWidth="8.8515625" customHeight="1"/>
  <cols>
    <col min="1" max="1" width="19.7109375" customWidth="1"/>
    <col min="2" max="2" width="44.421875" customWidth="1"/>
    <col min="3" max="3" width="25.28125" customWidth="1"/>
    <col min="4" max="4" width="20.00390625" customWidth="1"/>
  </cols>
  <sheetData>
    <row r="1" ht="24" customHeight="1">
      <c r="A1" s="1" t="s">
        <v>0</v>
      </c>
    </row>
    <row r="2" ht="15.75" customHeight="1">
      <c r="A2" s="2" t="s">
        <v>1</v>
      </c>
    </row>
    <row r="4" ht="16.5" customHeight="1">
      <c r="A4" s="3" t="s">
        <v>2</v>
      </c>
    </row>
    <row r="5" ht="15" customHeight="1">
      <c r="A5" t="s">
        <v>3</v>
      </c>
      <c r="B5" t="s">
        <v>4</v>
      </c>
    </row>
    <row r="6" ht="15" customHeight="1">
      <c r="A6" t="s">
        <v>5</v>
      </c>
      <c r="B6" t="s">
        <v>6</v>
      </c>
    </row>
    <row r="7" ht="15" customHeight="1">
      <c r="A7" t="s">
        <v>7</v>
      </c>
      <c r="B7" t="s">
        <v>8</v>
      </c>
    </row>
    <row r="8" ht="15" customHeight="1">
      <c r="A8" t="s">
        <v>9</v>
      </c>
      <c r="B8" t="s">
        <v>10</v>
      </c>
    </row>
    <row r="10" ht="16.5" customHeight="1">
      <c r="A10" s="3" t="s">
        <v>11</v>
      </c>
    </row>
    <row r="11" ht="15" customHeight="1">
      <c r="A11" s="4" t="s">
        <v>12</v>
      </c>
      <c r="B11" s="4" t="s">
        <v>13</v>
      </c>
      <c r="C11" s="4" t="s">
        <v>14</v>
      </c>
    </row>
    <row r="12" ht="15" customHeight="1">
      <c r="A12" s="5" t="s">
        <v>15</v>
      </c>
      <c r="B12" s="5">
        <v>80</v>
      </c>
      <c r="C12" s="5" t="s">
        <v>16</v>
      </c>
    </row>
    <row r="13" ht="15" customHeight="1">
      <c r="A13" s="5" t="s">
        <v>17</v>
      </c>
      <c r="B13" s="5">
        <v>35</v>
      </c>
      <c r="C13" s="5" t="s">
        <v>18</v>
      </c>
    </row>
    <row r="14" ht="15" customHeight="1">
      <c r="A14" s="5" t="s">
        <v>19</v>
      </c>
      <c r="B14" s="5">
        <v>11</v>
      </c>
      <c r="C14" s="5" t="s">
        <v>20</v>
      </c>
    </row>
    <row r="15" ht="15" customHeight="1">
      <c r="A15" s="5" t="s">
        <v>21</v>
      </c>
      <c r="B15" s="5" t="s">
        <v>22</v>
      </c>
      <c r="C15" s="5" t="s">
        <v>23</v>
      </c>
    </row>
    <row r="16" ht="15" customHeight="1">
      <c r="A16" s="5" t="s">
        <v>24</v>
      </c>
      <c r="B16" s="5" t="s">
        <v>25</v>
      </c>
      <c r="C16" s="5" t="s">
        <v>26</v>
      </c>
    </row>
    <row r="18" ht="16.5" customHeight="1">
      <c r="A18" s="3" t="s">
        <v>27</v>
      </c>
    </row>
    <row r="19" ht="15" customHeight="1">
      <c r="A19" s="4" t="s">
        <v>28</v>
      </c>
      <c r="B19" s="4" t="s">
        <v>29</v>
      </c>
      <c r="C19" s="4" t="s">
        <v>30</v>
      </c>
      <c r="D19" s="4" t="s">
        <v>31</v>
      </c>
    </row>
    <row r="20" ht="15" customHeight="1">
      <c r="A20" s="5" t="s">
        <v>32</v>
      </c>
      <c r="B20" s="5">
        <v>8</v>
      </c>
      <c r="C20" s="5" t="s">
        <v>33</v>
      </c>
      <c r="D20" s="5" t="s">
        <v>34</v>
      </c>
    </row>
    <row r="21" ht="15" customHeight="1">
      <c r="A21" s="5" t="s">
        <v>35</v>
      </c>
      <c r="B21" s="5">
        <v>8</v>
      </c>
      <c r="C21" s="5" t="s">
        <v>36</v>
      </c>
      <c r="D21" s="5" t="s">
        <v>37</v>
      </c>
    </row>
    <row r="22" ht="15" customHeight="1">
      <c r="A22" s="5" t="s">
        <v>38</v>
      </c>
      <c r="B22" s="5">
        <v>10</v>
      </c>
      <c r="C22" s="5" t="s">
        <v>39</v>
      </c>
      <c r="D22" s="5" t="s">
        <v>40</v>
      </c>
    </row>
    <row r="23" ht="15" customHeight="1">
      <c r="A23" s="5" t="s">
        <v>41</v>
      </c>
      <c r="B23" s="5">
        <v>10</v>
      </c>
      <c r="C23" s="5" t="s">
        <v>42</v>
      </c>
      <c r="D23" s="5" t="s">
        <v>43</v>
      </c>
    </row>
    <row r="24" ht="15" customHeight="1">
      <c r="A24" s="5" t="s">
        <v>44</v>
      </c>
      <c r="B24" s="5">
        <v>8</v>
      </c>
      <c r="C24" s="5" t="s">
        <v>45</v>
      </c>
      <c r="D24" s="5" t="s">
        <v>46</v>
      </c>
    </row>
    <row r="25" ht="15" customHeight="1">
      <c r="A25" s="5" t="s">
        <v>47</v>
      </c>
      <c r="B25" s="5">
        <v>8</v>
      </c>
      <c r="C25" s="5" t="s">
        <v>48</v>
      </c>
      <c r="D25" s="5" t="s">
        <v>49</v>
      </c>
    </row>
    <row r="26" ht="15" customHeight="1">
      <c r="A26" s="5" t="s">
        <v>50</v>
      </c>
      <c r="B26" s="5">
        <v>8</v>
      </c>
      <c r="C26" s="5" t="s">
        <v>51</v>
      </c>
      <c r="D26" s="5" t="s">
        <v>52</v>
      </c>
    </row>
    <row r="27" ht="15" customHeight="1">
      <c r="A27" s="5" t="s">
        <v>53</v>
      </c>
      <c r="B27" s="5">
        <v>6</v>
      </c>
      <c r="C27" s="5" t="s">
        <v>39</v>
      </c>
      <c r="D27" s="5" t="s">
        <v>54</v>
      </c>
    </row>
    <row r="28" ht="15" customHeight="1">
      <c r="A28" s="5" t="s">
        <v>55</v>
      </c>
      <c r="B28" s="5">
        <v>8</v>
      </c>
      <c r="C28" s="5" t="s">
        <v>56</v>
      </c>
      <c r="D28" s="5" t="s">
        <v>57</v>
      </c>
    </row>
    <row r="29" ht="15" customHeight="1">
      <c r="A29" s="5" t="s">
        <v>58</v>
      </c>
      <c r="B29" s="5">
        <v>4</v>
      </c>
      <c r="C29" s="5" t="s">
        <v>59</v>
      </c>
      <c r="D29" s="5" t="s">
        <v>60</v>
      </c>
    </row>
    <row r="31" ht="16.5" customHeight="1">
      <c r="A31" s="6" t="s">
        <v>61</v>
      </c>
    </row>
    <row r="32" ht="15" customHeight="1">
      <c r="A32" s="7" t="s">
        <v>62</v>
      </c>
      <c r="B32" s="7" t="s">
        <v>13</v>
      </c>
      <c r="C32" s="7" t="s">
        <v>14</v>
      </c>
    </row>
    <row r="33" ht="15" customHeight="1">
      <c r="A33" s="8" t="s">
        <v>63</v>
      </c>
      <c r="B33" s="8">
        <f>ROUND(AVERAGE('03-Produits'!W4:W84),1)</f>
        <v>82.2</v>
      </c>
      <c r="C33" s="8" t="s">
        <v>64</v>
      </c>
    </row>
    <row r="34" ht="15" customHeight="1">
      <c r="A34" s="8" t="s">
        <v>65</v>
      </c>
      <c r="B34" s="8">
        <f>COUNTIF('03-Produits'!X4:X84,"Indispensable")</f>
        <v>22</v>
      </c>
      <c r="C34" s="8" t="s">
        <v>66</v>
      </c>
    </row>
    <row r="35" ht="15" customHeight="1">
      <c r="A35" s="8" t="s">
        <v>67</v>
      </c>
      <c r="B35" s="8">
        <f>COUNTIF('03-Produits'!X4:X84,"Recommandé")</f>
        <v>40</v>
      </c>
      <c r="C35" s="8" t="s">
        <v>68</v>
      </c>
    </row>
    <row r="36" ht="15" customHeight="1">
      <c r="A36" s="8" t="s">
        <v>69</v>
      </c>
      <c r="B36" s="8">
        <f>COUNTIF('03-Produits'!X4:X84,"Confort")</f>
        <v>15</v>
      </c>
      <c r="C36" s="8" t="s">
        <v>70</v>
      </c>
    </row>
    <row r="37" ht="15" customHeight="1">
      <c r="A37" s="8" t="s">
        <v>71</v>
      </c>
      <c r="B37" s="8">
        <f>COUNTIF('03-Produits'!X4:X84,"Luxe")</f>
        <v>4</v>
      </c>
      <c r="C37" s="8" t="s">
        <v>72</v>
      </c>
    </row>
    <row r="38" ht="15" customHeight="1">
      <c r="A38" s="8" t="s">
        <v>73</v>
      </c>
      <c r="B38" s="8">
        <f>COUNTIF('03-Produits'!Z4:Z84,"✓")</f>
        <v>50</v>
      </c>
      <c r="C38" s="8" t="s">
        <v>74</v>
      </c>
    </row>
    <row r="39" ht="15" customHeight="1">
      <c r="A39" s="8" t="s">
        <v>75</v>
      </c>
      <c r="B39" s="8">
        <f>ROUND(AVERAGE('03-Produits'!Y4:Y84),1)</f>
        <v>7.5</v>
      </c>
      <c r="C39" s="8" t="s">
        <v>76</v>
      </c>
    </row>
    <row r="40" ht="15" customHeight="1">
      <c r="A40" s="8" t="s">
        <v>77</v>
      </c>
      <c r="B40" s="8">
        <f>ROUND(AVERAGE('03-Produits'!AA4:AA84),1)</f>
        <v>7.1</v>
      </c>
      <c r="C40" s="8" t="s">
        <v>78</v>
      </c>
    </row>
  </sheetData>
  <mergeCells>
    <mergeCell ref="A1:H1"/>
    <mergeCell ref="A2:H2"/>
    <mergeCell ref="A4:D4"/>
    <mergeCell ref="A10:C10"/>
    <mergeCell ref="A18:D18"/>
    <mergeCell ref="A31:C3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6B55DC3-EDE5-814B-8DDF-597FDFF6106E}" mc:Ignorable="x14ac xr xr2 xr3">
  <dimension ref="A1:GR1000"/>
  <sheetViews>
    <sheetView topLeftCell="A1" workbookViewId="0">
      <pane ySplit="3" topLeftCell="A4" activePane="bottomLeft" state="frozen"/>
      <selection pane="bottomLeft" activeCell="A4" sqref="A4"/>
    </sheetView>
  </sheetViews>
  <sheetFormatPr defaultRowHeight="15" defaultColWidth="8.8515625" customHeight="1"/>
  <cols>
    <col min="1" max="1" width="8.57421875" customWidth="1"/>
    <col min="2" max="2" width="28.57421875" customWidth="1"/>
    <col min="3" max="3" width="31.421875" customWidth="1"/>
    <col min="4" max="4" width="40.00390625" customWidth="1"/>
    <col min="5" max="5" width="13.57421875" customWidth="1"/>
  </cols>
  <sheetData>
    <row r="1" ht="22.5" customHeight="1">
      <c r="A1" s="9" t="s">
        <v>79</v>
      </c>
    </row>
    <row r="3" ht="15" customHeight="1">
      <c r="A3" s="7" t="s">
        <v>80</v>
      </c>
      <c r="B3" s="7" t="s">
        <v>28</v>
      </c>
      <c r="C3" s="7" t="s">
        <v>81</v>
      </c>
      <c r="D3" s="7" t="s">
        <v>82</v>
      </c>
      <c r="E3" s="7" t="s">
        <v>29</v>
      </c>
    </row>
    <row r="4" ht="15" customHeight="1">
      <c r="A4" s="10">
        <v>1</v>
      </c>
      <c r="B4" s="11" t="s">
        <v>83</v>
      </c>
      <c r="C4" s="11"/>
      <c r="D4" s="11" t="s">
        <v>84</v>
      </c>
      <c r="E4" s="10">
        <v>8</v>
      </c>
    </row>
    <row r="5" ht="15" customHeight="1">
      <c r="A5" s="12">
        <v>1.1</v>
      </c>
      <c r="B5" s="8"/>
      <c r="C5" s="8" t="s">
        <v>85</v>
      </c>
      <c r="D5" s="8" t="s">
        <v>86</v>
      </c>
      <c r="E5" s="12">
        <v>3</v>
      </c>
    </row>
    <row r="6" ht="15" customHeight="1">
      <c r="A6" s="12">
        <v>1.2</v>
      </c>
      <c r="B6" s="8"/>
      <c r="C6" s="8" t="s">
        <v>87</v>
      </c>
      <c r="D6" s="8" t="s">
        <v>88</v>
      </c>
      <c r="E6" s="12">
        <v>2</v>
      </c>
    </row>
    <row r="7" ht="15" customHeight="1">
      <c r="A7" s="12">
        <v>1.3</v>
      </c>
      <c r="B7" s="8"/>
      <c r="C7" s="8" t="s">
        <v>89</v>
      </c>
      <c r="D7" s="8" t="s">
        <v>90</v>
      </c>
      <c r="E7" s="12">
        <v>2</v>
      </c>
    </row>
    <row r="8" ht="15" customHeight="1">
      <c r="A8" s="12">
        <v>1.4</v>
      </c>
      <c r="B8" s="8"/>
      <c r="C8" s="8" t="s">
        <v>91</v>
      </c>
      <c r="D8" s="8" t="s">
        <v>92</v>
      </c>
      <c r="E8" s="12">
        <v>1</v>
      </c>
    </row>
    <row r="9" ht="15" customHeight="1">
      <c r="A9" s="10">
        <v>2</v>
      </c>
      <c r="B9" s="11" t="s">
        <v>93</v>
      </c>
      <c r="C9" s="11"/>
      <c r="D9" s="11" t="s">
        <v>94</v>
      </c>
      <c r="E9" s="10">
        <v>8</v>
      </c>
    </row>
    <row r="10" ht="15" customHeight="1">
      <c r="A10" s="12">
        <v>2.1</v>
      </c>
      <c r="B10" s="8"/>
      <c r="C10" s="8" t="s">
        <v>95</v>
      </c>
      <c r="D10" s="8" t="s">
        <v>96</v>
      </c>
      <c r="E10" s="12">
        <v>3</v>
      </c>
    </row>
    <row r="11" ht="15" customHeight="1">
      <c r="A11" s="12">
        <v>2.2</v>
      </c>
      <c r="B11" s="8"/>
      <c r="C11" s="8" t="s">
        <v>97</v>
      </c>
      <c r="D11" s="8" t="s">
        <v>98</v>
      </c>
      <c r="E11" s="12">
        <v>2</v>
      </c>
    </row>
    <row r="12" ht="15" customHeight="1">
      <c r="A12" s="12">
        <v>2.3</v>
      </c>
      <c r="B12" s="8"/>
      <c r="C12" s="8" t="s">
        <v>99</v>
      </c>
      <c r="D12" s="8" t="s">
        <v>100</v>
      </c>
      <c r="E12" s="12">
        <v>1</v>
      </c>
    </row>
    <row r="13" ht="15" customHeight="1">
      <c r="A13" s="12">
        <v>2.4</v>
      </c>
      <c r="B13" s="8"/>
      <c r="C13" s="8" t="s">
        <v>101</v>
      </c>
      <c r="D13" s="8" t="s">
        <v>102</v>
      </c>
      <c r="E13" s="12">
        <v>2</v>
      </c>
    </row>
    <row r="14" ht="15" customHeight="1">
      <c r="A14" s="10">
        <v>3</v>
      </c>
      <c r="B14" s="11" t="s">
        <v>103</v>
      </c>
      <c r="C14" s="11"/>
      <c r="D14" s="11" t="s">
        <v>104</v>
      </c>
      <c r="E14" s="10">
        <v>10</v>
      </c>
    </row>
    <row r="15" ht="15" customHeight="1">
      <c r="A15" s="12">
        <v>3.1</v>
      </c>
      <c r="B15" s="8"/>
      <c r="C15" s="8" t="s">
        <v>105</v>
      </c>
      <c r="D15" s="8" t="s">
        <v>106</v>
      </c>
      <c r="E15" s="12">
        <v>3</v>
      </c>
    </row>
    <row r="16" ht="15" customHeight="1">
      <c r="A16" s="12">
        <v>3.2</v>
      </c>
      <c r="B16" s="8"/>
      <c r="C16" s="8" t="s">
        <v>107</v>
      </c>
      <c r="D16" s="8" t="s">
        <v>108</v>
      </c>
      <c r="E16" s="12">
        <v>2</v>
      </c>
    </row>
    <row r="17" ht="15" customHeight="1">
      <c r="A17" s="12">
        <v>3.3</v>
      </c>
      <c r="B17" s="8"/>
      <c r="C17" s="8" t="s">
        <v>109</v>
      </c>
      <c r="D17" s="8" t="s">
        <v>110</v>
      </c>
      <c r="E17" s="12">
        <v>2</v>
      </c>
    </row>
    <row r="18" ht="15" customHeight="1">
      <c r="A18" s="12">
        <v>3.4</v>
      </c>
      <c r="B18" s="8"/>
      <c r="C18" s="8" t="s">
        <v>111</v>
      </c>
      <c r="D18" s="8" t="s">
        <v>112</v>
      </c>
      <c r="E18" s="12">
        <v>2</v>
      </c>
    </row>
    <row r="19" ht="15" customHeight="1">
      <c r="A19" s="12">
        <v>3.5</v>
      </c>
      <c r="B19" s="8"/>
      <c r="C19" s="8" t="s">
        <v>113</v>
      </c>
      <c r="D19" s="8" t="s">
        <v>114</v>
      </c>
      <c r="E19" s="12">
        <v>1</v>
      </c>
    </row>
    <row r="20" ht="15" customHeight="1">
      <c r="A20" s="10">
        <v>4</v>
      </c>
      <c r="B20" s="11" t="s">
        <v>115</v>
      </c>
      <c r="C20" s="11"/>
      <c r="D20" s="11" t="s">
        <v>116</v>
      </c>
      <c r="E20" s="10">
        <v>10</v>
      </c>
    </row>
    <row r="21" ht="15" customHeight="1">
      <c r="A21" s="12">
        <v>4.1</v>
      </c>
      <c r="B21" s="8"/>
      <c r="C21" s="8" t="s">
        <v>117</v>
      </c>
      <c r="D21" s="8" t="s">
        <v>118</v>
      </c>
      <c r="E21" s="12">
        <v>3</v>
      </c>
    </row>
    <row r="22" ht="15" customHeight="1">
      <c r="A22" s="12">
        <v>4.2</v>
      </c>
      <c r="B22" s="8"/>
      <c r="C22" s="8" t="s">
        <v>119</v>
      </c>
      <c r="D22" s="8" t="s">
        <v>120</v>
      </c>
      <c r="E22" s="12">
        <v>2</v>
      </c>
    </row>
    <row r="23" ht="15" customHeight="1">
      <c r="A23" s="12">
        <v>4.3</v>
      </c>
      <c r="B23" s="8"/>
      <c r="C23" s="8" t="s">
        <v>121</v>
      </c>
      <c r="D23" s="8" t="s">
        <v>122</v>
      </c>
      <c r="E23" s="12">
        <v>3</v>
      </c>
    </row>
    <row r="24" ht="15" customHeight="1">
      <c r="A24" s="12">
        <v>4.4</v>
      </c>
      <c r="B24" s="8"/>
      <c r="C24" s="8" t="s">
        <v>123</v>
      </c>
      <c r="D24" s="8" t="s">
        <v>124</v>
      </c>
      <c r="E24" s="12">
        <v>2</v>
      </c>
    </row>
    <row r="25" ht="15" customHeight="1">
      <c r="A25" s="10">
        <v>5</v>
      </c>
      <c r="B25" s="11" t="s">
        <v>125</v>
      </c>
      <c r="C25" s="11"/>
      <c r="D25" s="11" t="s">
        <v>126</v>
      </c>
      <c r="E25" s="10">
        <v>8</v>
      </c>
    </row>
    <row r="26" ht="15" customHeight="1">
      <c r="A26" s="12">
        <v>5.1</v>
      </c>
      <c r="B26" s="8"/>
      <c r="C26" s="8" t="s">
        <v>127</v>
      </c>
      <c r="D26" s="8" t="s">
        <v>128</v>
      </c>
      <c r="E26" s="12">
        <v>2</v>
      </c>
    </row>
    <row r="27" ht="15" customHeight="1">
      <c r="A27" s="12">
        <v>5.2</v>
      </c>
      <c r="B27" s="8"/>
      <c r="C27" s="8" t="s">
        <v>129</v>
      </c>
      <c r="D27" s="8" t="s">
        <v>130</v>
      </c>
      <c r="E27" s="12">
        <v>2</v>
      </c>
    </row>
    <row r="28" ht="15" customHeight="1">
      <c r="A28" s="12">
        <v>5.3</v>
      </c>
      <c r="B28" s="8"/>
      <c r="C28" s="8" t="s">
        <v>131</v>
      </c>
      <c r="D28" s="8" t="s">
        <v>132</v>
      </c>
      <c r="E28" s="12">
        <v>2</v>
      </c>
    </row>
    <row r="29" ht="15" customHeight="1">
      <c r="A29" s="12">
        <v>5.4</v>
      </c>
      <c r="B29" s="8"/>
      <c r="C29" s="8" t="s">
        <v>133</v>
      </c>
      <c r="D29" s="8" t="s">
        <v>134</v>
      </c>
      <c r="E29" s="12">
        <v>2</v>
      </c>
    </row>
    <row r="30" ht="15" customHeight="1">
      <c r="A30" s="10">
        <v>6</v>
      </c>
      <c r="B30" s="11" t="s">
        <v>135</v>
      </c>
      <c r="C30" s="11"/>
      <c r="D30" s="11" t="s">
        <v>136</v>
      </c>
      <c r="E30" s="10">
        <v>8</v>
      </c>
    </row>
    <row r="31" ht="15" customHeight="1">
      <c r="A31" s="12">
        <v>6.1</v>
      </c>
      <c r="B31" s="8"/>
      <c r="C31" s="8" t="s">
        <v>137</v>
      </c>
      <c r="D31" s="8" t="s">
        <v>138</v>
      </c>
      <c r="E31" s="12">
        <v>4</v>
      </c>
    </row>
    <row r="32" ht="15" customHeight="1">
      <c r="A32" s="12">
        <v>6.2</v>
      </c>
      <c r="B32" s="8"/>
      <c r="C32" s="8" t="s">
        <v>139</v>
      </c>
      <c r="D32" s="8" t="s">
        <v>140</v>
      </c>
      <c r="E32" s="12">
        <v>2</v>
      </c>
    </row>
    <row r="33" ht="15" customHeight="1">
      <c r="A33" s="12">
        <v>6.3</v>
      </c>
      <c r="B33" s="8"/>
      <c r="C33" s="8" t="s">
        <v>141</v>
      </c>
      <c r="D33" s="8" t="s">
        <v>142</v>
      </c>
      <c r="E33" s="12">
        <v>2</v>
      </c>
    </row>
    <row r="34" ht="15" customHeight="1">
      <c r="A34" s="10">
        <v>7</v>
      </c>
      <c r="B34" s="11" t="s">
        <v>143</v>
      </c>
      <c r="C34" s="11"/>
      <c r="D34" s="11" t="s">
        <v>144</v>
      </c>
      <c r="E34" s="10">
        <v>8</v>
      </c>
    </row>
    <row r="35" ht="15" customHeight="1">
      <c r="A35" s="12">
        <v>7.1</v>
      </c>
      <c r="B35" s="8"/>
      <c r="C35" s="8" t="s">
        <v>145</v>
      </c>
      <c r="D35" s="8" t="s">
        <v>146</v>
      </c>
      <c r="E35" s="12">
        <v>3</v>
      </c>
    </row>
    <row r="36" ht="15" customHeight="1">
      <c r="A36" s="12">
        <v>7.2</v>
      </c>
      <c r="B36" s="8"/>
      <c r="C36" s="8" t="s">
        <v>147</v>
      </c>
      <c r="D36" s="8" t="s">
        <v>148</v>
      </c>
      <c r="E36" s="12">
        <v>2</v>
      </c>
    </row>
    <row r="37" ht="15" customHeight="1">
      <c r="A37" s="12">
        <v>7.3</v>
      </c>
      <c r="B37" s="8"/>
      <c r="C37" s="8" t="s">
        <v>149</v>
      </c>
      <c r="D37" s="8" t="s">
        <v>150</v>
      </c>
      <c r="E37" s="12">
        <v>2</v>
      </c>
    </row>
    <row r="38" ht="15" customHeight="1">
      <c r="A38" s="12">
        <v>7.4</v>
      </c>
      <c r="B38" s="8"/>
      <c r="C38" s="8" t="s">
        <v>151</v>
      </c>
      <c r="D38" s="8" t="s">
        <v>152</v>
      </c>
      <c r="E38" s="12">
        <v>1</v>
      </c>
    </row>
    <row r="39" ht="15" customHeight="1">
      <c r="A39" s="10">
        <v>8</v>
      </c>
      <c r="B39" s="11" t="s">
        <v>153</v>
      </c>
      <c r="C39" s="11"/>
      <c r="D39" s="11" t="s">
        <v>154</v>
      </c>
      <c r="E39" s="10">
        <v>6</v>
      </c>
    </row>
    <row r="40" ht="15" customHeight="1">
      <c r="A40" s="12">
        <v>8.1</v>
      </c>
      <c r="B40" s="8"/>
      <c r="C40" s="8" t="s">
        <v>155</v>
      </c>
      <c r="D40" s="8" t="s">
        <v>156</v>
      </c>
      <c r="E40" s="12">
        <v>3</v>
      </c>
    </row>
    <row r="41" ht="15" customHeight="1">
      <c r="A41" s="12">
        <v>8.2</v>
      </c>
      <c r="B41" s="8"/>
      <c r="C41" s="8" t="s">
        <v>157</v>
      </c>
      <c r="D41" s="8" t="s">
        <v>158</v>
      </c>
      <c r="E41" s="12">
        <v>2</v>
      </c>
    </row>
    <row r="42" ht="15" customHeight="1">
      <c r="A42" s="12">
        <v>8.3</v>
      </c>
      <c r="B42" s="8"/>
      <c r="C42" s="8" t="s">
        <v>159</v>
      </c>
      <c r="D42" s="8" t="s">
        <v>160</v>
      </c>
      <c r="E42" s="12">
        <v>1</v>
      </c>
    </row>
    <row r="43" ht="15" customHeight="1">
      <c r="A43" s="10">
        <v>9</v>
      </c>
      <c r="B43" s="11" t="s">
        <v>161</v>
      </c>
      <c r="C43" s="11"/>
      <c r="D43" s="11" t="s">
        <v>162</v>
      </c>
      <c r="E43" s="10">
        <v>8</v>
      </c>
    </row>
    <row r="44" ht="15" customHeight="1">
      <c r="A44" s="12">
        <v>9.1</v>
      </c>
      <c r="B44" s="8"/>
      <c r="C44" s="8" t="s">
        <v>163</v>
      </c>
      <c r="D44" s="8" t="s">
        <v>164</v>
      </c>
      <c r="E44" s="12">
        <v>3</v>
      </c>
    </row>
    <row r="45" ht="15" customHeight="1">
      <c r="A45" s="12">
        <v>9.2</v>
      </c>
      <c r="B45" s="8"/>
      <c r="C45" s="8" t="s">
        <v>165</v>
      </c>
      <c r="D45" s="8" t="s">
        <v>166</v>
      </c>
      <c r="E45" s="12">
        <v>2</v>
      </c>
    </row>
    <row r="46" ht="15" customHeight="1">
      <c r="A46" s="12">
        <v>9.3</v>
      </c>
      <c r="B46" s="8"/>
      <c r="C46" s="8" t="s">
        <v>167</v>
      </c>
      <c r="D46" s="8" t="s">
        <v>168</v>
      </c>
      <c r="E46" s="12">
        <v>2</v>
      </c>
    </row>
    <row r="47" ht="15" customHeight="1">
      <c r="A47" s="12">
        <v>9.4</v>
      </c>
      <c r="B47" s="8"/>
      <c r="C47" s="8" t="s">
        <v>169</v>
      </c>
      <c r="D47" s="8" t="s">
        <v>170</v>
      </c>
      <c r="E47" s="12">
        <v>1</v>
      </c>
    </row>
    <row r="48" ht="15" customHeight="1">
      <c r="A48" s="10">
        <v>10</v>
      </c>
      <c r="B48" s="11" t="s">
        <v>171</v>
      </c>
      <c r="C48" s="11"/>
      <c r="D48" s="11" t="s">
        <v>172</v>
      </c>
      <c r="E48" s="10">
        <v>4</v>
      </c>
    </row>
    <row r="49" ht="15" customHeight="1">
      <c r="A49" s="12">
        <v>10.1</v>
      </c>
      <c r="B49" s="8"/>
      <c r="C49" s="8" t="s">
        <v>173</v>
      </c>
      <c r="D49" s="8" t="s">
        <v>174</v>
      </c>
      <c r="E49" s="12">
        <v>2</v>
      </c>
    </row>
    <row r="50" ht="15" customHeight="1">
      <c r="A50" s="12">
        <v>10.2</v>
      </c>
      <c r="B50" s="8"/>
      <c r="C50" s="8" t="s">
        <v>175</v>
      </c>
      <c r="D50" s="8" t="s">
        <v>176</v>
      </c>
      <c r="E50" s="12">
        <v>1</v>
      </c>
    </row>
    <row r="51" ht="15" customHeight="1">
      <c r="A51" s="12">
        <v>10.3</v>
      </c>
      <c r="B51" s="8"/>
      <c r="C51" s="8" t="s">
        <v>177</v>
      </c>
      <c r="D51" s="8" t="s">
        <v>178</v>
      </c>
      <c r="E51" s="12">
        <v>1</v>
      </c>
    </row>
    <row r="52" ht="15" customHeight="1">
      <c r="A52" s="10">
        <v>11</v>
      </c>
      <c r="B52" s="11" t="s">
        <v>179</v>
      </c>
      <c r="C52" s="11"/>
      <c r="D52" s="11" t="s">
        <v>180</v>
      </c>
      <c r="E52" s="10">
        <v>2</v>
      </c>
    </row>
    <row r="53" ht="15" customHeight="1">
      <c r="A53" s="12">
        <v>11.1</v>
      </c>
      <c r="B53" s="8"/>
      <c r="C53" s="8" t="s">
        <v>181</v>
      </c>
      <c r="D53" s="8" t="s">
        <v>182</v>
      </c>
      <c r="E53" s="12">
        <v>1</v>
      </c>
    </row>
    <row r="54" ht="15" customHeight="1">
      <c r="A54" s="12">
        <v>11.2</v>
      </c>
      <c r="B54" s="8"/>
      <c r="C54" s="8" t="s">
        <v>183</v>
      </c>
      <c r="D54" s="8" t="s">
        <v>184</v>
      </c>
      <c r="E54" s="12">
        <v>1</v>
      </c>
    </row>
  </sheetData>
  <mergeCells>
    <mergeCell ref="A1:E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4AECC05-BDE3-FD12-4964-092439C626F2}" mc:Ignorable="x14ac xr xr2 xr3">
  <dimension ref="A1:GR1000"/>
  <sheetViews>
    <sheetView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AE2" sqref="AE2"/>
    </sheetView>
  </sheetViews>
  <sheetFormatPr defaultRowHeight="15" defaultColWidth="8.8515625" customHeight="1"/>
  <cols>
    <col min="1" max="1" width="5.28125" customWidth="1"/>
    <col min="2" max="2" width="29.7109375" customWidth="1"/>
    <col min="3" max="3" width="23.7109375" customWidth="1"/>
    <col min="4" max="4" width="24.00390625" customWidth="1"/>
    <col min="5" max="5" width="23.28125" customWidth="1"/>
    <col min="6" max="6" width="26.28125" customWidth="1"/>
    <col min="7" max="7" width="8.00390625" customWidth="1"/>
    <col min="8" max="8" width="9.28125" customWidth="1"/>
    <col min="9" max="9" width="17.8515625" customWidth="1"/>
    <col min="10" max="10" width="31.7109375" customWidth="1"/>
    <col min="11" max="11" width="17.7109375" customWidth="1"/>
    <col min="12" max="12" width="54.140625" customWidth="1"/>
    <col min="13" max="13" width="38.8515625" customWidth="1"/>
    <col min="14" max="14" width="36.28125" customWidth="1"/>
    <col min="15" max="15" width="33.7109375" customWidth="1"/>
    <col min="16" max="16" width="29.8515625" customWidth="1"/>
    <col min="17" max="17" width="14.421875" customWidth="1"/>
    <col min="18" max="18" width="11.140625" customWidth="1"/>
    <col min="19" max="19" width="16.57421875" customWidth="1"/>
    <col min="20" max="20" width="13.421875" customWidth="1"/>
    <col min="21" max="21" width="19.140625" customWidth="1"/>
    <col min="22" max="22" width="21.7109375" customWidth="1"/>
    <col min="23" max="23" width="11.28125" customWidth="1"/>
    <col min="24" max="24" width="13.57421875" customWidth="1"/>
    <col min="25" max="25" width="12.421875" customWidth="1"/>
    <col min="26" max="26" width="7.57421875" customWidth="1"/>
    <col min="27" max="27" width="12.57421875" customWidth="1"/>
    <col min="28" max="28" width="33.140625" customWidth="1"/>
    <col min="29" max="29" width="27.7109375" customWidth="1"/>
    <col min="30" max="30" width="103.7109375" customWidth="1"/>
  </cols>
  <sheetData>
    <row r="1" ht="22.5" customHeight="1">
      <c r="A1" s="9" t="s">
        <v>185</v>
      </c>
    </row>
    <row r="3" ht="15" customHeight="1">
      <c r="A3" s="13" t="s">
        <v>80</v>
      </c>
      <c r="B3" s="13" t="s">
        <v>186</v>
      </c>
      <c r="C3" s="13" t="s">
        <v>187</v>
      </c>
      <c r="D3" s="13" t="s">
        <v>188</v>
      </c>
      <c r="E3" s="13" t="s">
        <v>28</v>
      </c>
      <c r="F3" s="13" t="s">
        <v>81</v>
      </c>
      <c r="G3" s="14" t="s">
        <v>189</v>
      </c>
      <c r="H3" s="14" t="s">
        <v>190</v>
      </c>
      <c r="I3" s="13" t="s">
        <v>191</v>
      </c>
      <c r="J3" s="13" t="s">
        <v>192</v>
      </c>
      <c r="K3" s="13" t="s">
        <v>193</v>
      </c>
      <c r="L3" s="13" t="s">
        <v>194</v>
      </c>
      <c r="M3" s="13" t="s">
        <v>195</v>
      </c>
      <c r="N3" s="13" t="s">
        <v>196</v>
      </c>
      <c r="O3" s="13" t="s">
        <v>197</v>
      </c>
      <c r="P3" s="13" t="s">
        <v>198</v>
      </c>
      <c r="Q3" s="13" t="s">
        <v>199</v>
      </c>
      <c r="R3" s="13" t="s">
        <v>200</v>
      </c>
      <c r="S3" s="14" t="s">
        <v>201</v>
      </c>
      <c r="T3" s="14" t="s">
        <v>202</v>
      </c>
      <c r="U3" s="14" t="s">
        <v>203</v>
      </c>
      <c r="V3" s="13" t="s">
        <v>204</v>
      </c>
      <c r="W3" s="15" t="s">
        <v>205</v>
      </c>
      <c r="X3" s="15" t="s">
        <v>206</v>
      </c>
      <c r="Y3" s="15" t="s">
        <v>207</v>
      </c>
      <c r="Z3" s="15" t="s">
        <v>208</v>
      </c>
      <c r="AA3" s="15" t="s">
        <v>209</v>
      </c>
      <c r="AB3" s="15" t="s">
        <v>210</v>
      </c>
      <c r="AC3" s="15" t="s">
        <v>211</v>
      </c>
      <c r="AD3" s="15" t="s">
        <v>212</v>
      </c>
    </row>
    <row r="4" ht="15" customHeight="1">
      <c r="A4" s="8" t="s">
        <v>213</v>
      </c>
      <c r="B4" s="8" t="s">
        <v>214</v>
      </c>
      <c r="C4" s="8" t="s">
        <v>215</v>
      </c>
      <c r="D4" s="8" t="s">
        <v>216</v>
      </c>
      <c r="E4" s="8" t="s">
        <v>32</v>
      </c>
      <c r="F4" s="8" t="s">
        <v>217</v>
      </c>
      <c r="G4" s="16">
        <v>220</v>
      </c>
      <c r="H4" s="16">
        <v>1100</v>
      </c>
      <c r="I4" s="8" t="s">
        <v>218</v>
      </c>
      <c r="J4" s="8" t="s">
        <v>219</v>
      </c>
      <c r="K4" s="8" t="s">
        <v>220</v>
      </c>
      <c r="L4" s="8" t="s">
        <v>221</v>
      </c>
      <c r="M4" s="8" t="s">
        <v>222</v>
      </c>
      <c r="N4" s="8" t="s">
        <v>223</v>
      </c>
      <c r="O4" s="8" t="s">
        <v>224</v>
      </c>
      <c r="P4" s="8" t="s">
        <v>225</v>
      </c>
      <c r="Q4" s="8" t="s">
        <v>226</v>
      </c>
      <c r="R4" s="8" t="s">
        <v>226</v>
      </c>
      <c r="S4" s="16">
        <v>9</v>
      </c>
      <c r="T4" s="16">
        <v>8</v>
      </c>
      <c r="U4" s="16">
        <v>9</v>
      </c>
      <c r="V4" s="8" t="s">
        <v>227</v>
      </c>
      <c r="W4" s="17">
        <v>87</v>
      </c>
      <c r="X4" s="17" t="s">
        <v>228</v>
      </c>
      <c r="Y4" s="17">
        <v>9</v>
      </c>
      <c r="Z4" s="17" t="s">
        <v>229</v>
      </c>
      <c r="AA4" s="17">
        <v>8</v>
      </c>
      <c r="AB4" s="17" t="s">
        <v>230</v>
      </c>
      <c r="AC4" s="17" t="s">
        <v>231</v>
      </c>
      <c r="AD4" s="17" t="s">
        <v>232</v>
      </c>
    </row>
    <row r="5" ht="15" customHeight="1">
      <c r="A5" s="8" t="s">
        <v>233</v>
      </c>
      <c r="B5" s="8" t="s">
        <v>234</v>
      </c>
      <c r="C5" s="8" t="s">
        <v>235</v>
      </c>
      <c r="D5" s="8" t="s">
        <v>236</v>
      </c>
      <c r="E5" s="8" t="s">
        <v>32</v>
      </c>
      <c r="F5" s="8" t="s">
        <v>217</v>
      </c>
      <c r="G5" s="16">
        <v>185</v>
      </c>
      <c r="H5" s="16">
        <v>1450</v>
      </c>
      <c r="I5" s="8" t="s">
        <v>237</v>
      </c>
      <c r="J5" s="8" t="s">
        <v>238</v>
      </c>
      <c r="K5" s="8" t="s">
        <v>239</v>
      </c>
      <c r="L5" s="8" t="s">
        <v>240</v>
      </c>
      <c r="M5" s="8" t="s">
        <v>241</v>
      </c>
      <c r="N5" s="8" t="s">
        <v>242</v>
      </c>
      <c r="O5" s="8" t="s">
        <v>243</v>
      </c>
      <c r="P5" s="8" t="s">
        <v>244</v>
      </c>
      <c r="Q5" s="8" t="s">
        <v>226</v>
      </c>
      <c r="R5" s="8" t="s">
        <v>226</v>
      </c>
      <c r="S5" s="16">
        <v>9</v>
      </c>
      <c r="T5" s="16">
        <v>9</v>
      </c>
      <c r="U5" s="16">
        <v>9</v>
      </c>
      <c r="V5" s="8" t="s">
        <v>245</v>
      </c>
      <c r="W5" s="17">
        <v>90</v>
      </c>
      <c r="X5" s="17" t="s">
        <v>228</v>
      </c>
      <c r="Y5" s="17">
        <v>9</v>
      </c>
      <c r="Z5" s="17" t="s">
        <v>229</v>
      </c>
      <c r="AA5" s="17">
        <v>9</v>
      </c>
      <c r="AB5" s="17" t="s">
        <v>246</v>
      </c>
      <c r="AC5" s="17" t="s">
        <v>247</v>
      </c>
      <c r="AD5" s="17" t="s">
        <v>248</v>
      </c>
    </row>
    <row r="6" ht="15" customHeight="1">
      <c r="A6" s="8" t="s">
        <v>249</v>
      </c>
      <c r="B6" s="8" t="s">
        <v>250</v>
      </c>
      <c r="C6" s="8" t="s">
        <v>235</v>
      </c>
      <c r="D6" s="8" t="s">
        <v>251</v>
      </c>
      <c r="E6" s="8" t="s">
        <v>32</v>
      </c>
      <c r="F6" s="8" t="s">
        <v>252</v>
      </c>
      <c r="G6" s="16">
        <v>300</v>
      </c>
      <c r="H6" s="16">
        <v>1500</v>
      </c>
      <c r="I6" s="8" t="s">
        <v>253</v>
      </c>
      <c r="J6" s="8" t="s">
        <v>254</v>
      </c>
      <c r="K6" s="8" t="s">
        <v>239</v>
      </c>
      <c r="L6" s="8" t="s">
        <v>255</v>
      </c>
      <c r="M6" s="8" t="s">
        <v>256</v>
      </c>
      <c r="N6" s="8" t="s">
        <v>257</v>
      </c>
      <c r="O6" s="8" t="s">
        <v>258</v>
      </c>
      <c r="P6" s="8" t="s">
        <v>259</v>
      </c>
      <c r="Q6" s="8" t="s">
        <v>226</v>
      </c>
      <c r="R6" s="8" t="s">
        <v>226</v>
      </c>
      <c r="S6" s="16">
        <v>10</v>
      </c>
      <c r="T6" s="16">
        <v>7</v>
      </c>
      <c r="U6" s="16">
        <v>9</v>
      </c>
      <c r="V6" s="8" t="s">
        <v>245</v>
      </c>
      <c r="W6" s="17">
        <v>85</v>
      </c>
      <c r="X6" s="17" t="s">
        <v>260</v>
      </c>
      <c r="Y6" s="17">
        <v>6</v>
      </c>
      <c r="Z6" s="17" t="s">
        <v>261</v>
      </c>
      <c r="AA6" s="17">
        <v>9</v>
      </c>
      <c r="AB6" s="17" t="s">
        <v>262</v>
      </c>
      <c r="AC6" s="17" t="s">
        <v>263</v>
      </c>
      <c r="AD6" s="17" t="s">
        <v>264</v>
      </c>
    </row>
    <row r="7" ht="15" customHeight="1">
      <c r="A7" s="8" t="s">
        <v>265</v>
      </c>
      <c r="B7" s="8" t="s">
        <v>266</v>
      </c>
      <c r="C7" s="8" t="s">
        <v>235</v>
      </c>
      <c r="D7" s="8" t="s">
        <v>267</v>
      </c>
      <c r="E7" s="8" t="s">
        <v>32</v>
      </c>
      <c r="F7" s="8" t="s">
        <v>89</v>
      </c>
      <c r="G7" s="16">
        <v>85</v>
      </c>
      <c r="H7" s="16">
        <v>660</v>
      </c>
      <c r="I7" s="8" t="s">
        <v>268</v>
      </c>
      <c r="J7" s="8" t="s">
        <v>269</v>
      </c>
      <c r="K7" s="8" t="s">
        <v>239</v>
      </c>
      <c r="L7" s="8" t="s">
        <v>270</v>
      </c>
      <c r="M7" s="8" t="s">
        <v>271</v>
      </c>
      <c r="N7" s="8" t="s">
        <v>272</v>
      </c>
      <c r="O7" s="8" t="s">
        <v>273</v>
      </c>
      <c r="P7" s="8" t="s">
        <v>274</v>
      </c>
      <c r="Q7" s="8" t="s">
        <v>226</v>
      </c>
      <c r="R7" s="8" t="s">
        <v>226</v>
      </c>
      <c r="S7" s="16">
        <v>9</v>
      </c>
      <c r="T7" s="16">
        <v>8</v>
      </c>
      <c r="U7" s="16">
        <v>8</v>
      </c>
      <c r="V7" s="8" t="s">
        <v>275</v>
      </c>
      <c r="W7" s="17">
        <v>84</v>
      </c>
      <c r="X7" s="17" t="s">
        <v>260</v>
      </c>
      <c r="Y7" s="17">
        <v>8</v>
      </c>
      <c r="Z7" s="17" t="s">
        <v>229</v>
      </c>
      <c r="AA7" s="17">
        <v>9</v>
      </c>
      <c r="AB7" s="17" t="s">
        <v>276</v>
      </c>
      <c r="AC7" s="17" t="s">
        <v>277</v>
      </c>
      <c r="AD7" s="17" t="s">
        <v>278</v>
      </c>
    </row>
    <row r="8" ht="15" customHeight="1">
      <c r="A8" s="8" t="s">
        <v>279</v>
      </c>
      <c r="B8" s="8" t="s">
        <v>280</v>
      </c>
      <c r="C8" s="8" t="s">
        <v>281</v>
      </c>
      <c r="D8" s="8" t="s">
        <v>282</v>
      </c>
      <c r="E8" s="8" t="s">
        <v>32</v>
      </c>
      <c r="F8" s="8" t="s">
        <v>283</v>
      </c>
      <c r="G8" s="16">
        <v>30</v>
      </c>
      <c r="H8" s="16">
        <v>68</v>
      </c>
      <c r="I8" s="8" t="s">
        <v>284</v>
      </c>
      <c r="J8" s="8" t="s">
        <v>285</v>
      </c>
      <c r="K8" s="8" t="s">
        <v>286</v>
      </c>
      <c r="L8" s="8" t="s">
        <v>287</v>
      </c>
      <c r="M8" s="8" t="s">
        <v>288</v>
      </c>
      <c r="N8" s="8" t="s">
        <v>289</v>
      </c>
      <c r="O8" s="8" t="s">
        <v>290</v>
      </c>
      <c r="P8" s="8" t="s">
        <v>291</v>
      </c>
      <c r="Q8" s="8" t="s">
        <v>226</v>
      </c>
      <c r="R8" s="8" t="s">
        <v>226</v>
      </c>
      <c r="S8" s="16">
        <v>8</v>
      </c>
      <c r="T8" s="16">
        <v>8</v>
      </c>
      <c r="U8" s="16">
        <v>7</v>
      </c>
      <c r="V8" s="8" t="s">
        <v>292</v>
      </c>
      <c r="W8" s="17">
        <v>77</v>
      </c>
      <c r="X8" s="17" t="s">
        <v>260</v>
      </c>
      <c r="Y8" s="17">
        <v>7</v>
      </c>
      <c r="Z8" s="17" t="s">
        <v>229</v>
      </c>
      <c r="AA8" s="17">
        <v>6</v>
      </c>
      <c r="AB8" s="17" t="s">
        <v>293</v>
      </c>
      <c r="AC8" s="17" t="s">
        <v>294</v>
      </c>
      <c r="AD8" s="17" t="s">
        <v>295</v>
      </c>
    </row>
    <row r="9" ht="15" customHeight="1">
      <c r="A9" s="8" t="s">
        <v>296</v>
      </c>
      <c r="B9" s="8" t="s">
        <v>297</v>
      </c>
      <c r="C9" s="8" t="s">
        <v>298</v>
      </c>
      <c r="D9" s="8" t="s">
        <v>299</v>
      </c>
      <c r="E9" s="8" t="s">
        <v>300</v>
      </c>
      <c r="F9" s="8" t="s">
        <v>95</v>
      </c>
      <c r="G9" s="16">
        <v>550</v>
      </c>
      <c r="H9" s="16">
        <v>1360</v>
      </c>
      <c r="I9" s="8" t="s">
        <v>301</v>
      </c>
      <c r="J9" s="8" t="s">
        <v>302</v>
      </c>
      <c r="K9" s="8" t="s">
        <v>303</v>
      </c>
      <c r="L9" s="8" t="s">
        <v>304</v>
      </c>
      <c r="M9" s="8" t="s">
        <v>305</v>
      </c>
      <c r="N9" s="8" t="s">
        <v>306</v>
      </c>
      <c r="O9" s="8" t="s">
        <v>307</v>
      </c>
      <c r="P9" s="8" t="s">
        <v>308</v>
      </c>
      <c r="Q9" s="8" t="s">
        <v>226</v>
      </c>
      <c r="R9" s="8" t="s">
        <v>226</v>
      </c>
      <c r="S9" s="16">
        <v>10</v>
      </c>
      <c r="T9" s="16">
        <v>6</v>
      </c>
      <c r="U9" s="16">
        <v>8</v>
      </c>
      <c r="V9" s="8" t="s">
        <v>245</v>
      </c>
      <c r="W9" s="17">
        <v>84</v>
      </c>
      <c r="X9" s="17" t="s">
        <v>228</v>
      </c>
      <c r="Y9" s="17">
        <v>7</v>
      </c>
      <c r="Z9" s="17" t="s">
        <v>261</v>
      </c>
      <c r="AA9" s="17">
        <v>7</v>
      </c>
      <c r="AB9" s="17" t="s">
        <v>309</v>
      </c>
      <c r="AC9" s="17" t="s">
        <v>263</v>
      </c>
      <c r="AD9" s="17" t="s">
        <v>310</v>
      </c>
    </row>
    <row r="10" ht="15" customHeight="1">
      <c r="A10" s="8" t="s">
        <v>311</v>
      </c>
      <c r="B10" s="8" t="s">
        <v>312</v>
      </c>
      <c r="C10" s="8" t="s">
        <v>313</v>
      </c>
      <c r="D10" s="8" t="s">
        <v>314</v>
      </c>
      <c r="E10" s="8" t="s">
        <v>300</v>
      </c>
      <c r="F10" s="8" t="s">
        <v>95</v>
      </c>
      <c r="G10" s="16">
        <v>290</v>
      </c>
      <c r="H10" s="16">
        <v>880</v>
      </c>
      <c r="I10" s="8" t="s">
        <v>315</v>
      </c>
      <c r="J10" s="8" t="s">
        <v>316</v>
      </c>
      <c r="K10" s="8" t="s">
        <v>317</v>
      </c>
      <c r="L10" s="8" t="s">
        <v>318</v>
      </c>
      <c r="M10" s="8" t="s">
        <v>319</v>
      </c>
      <c r="N10" s="8" t="s">
        <v>320</v>
      </c>
      <c r="O10" s="8" t="s">
        <v>321</v>
      </c>
      <c r="P10" s="8" t="s">
        <v>322</v>
      </c>
      <c r="Q10" s="8" t="s">
        <v>226</v>
      </c>
      <c r="R10" s="8" t="s">
        <v>226</v>
      </c>
      <c r="S10" s="16">
        <v>9</v>
      </c>
      <c r="T10" s="16">
        <v>9</v>
      </c>
      <c r="U10" s="16">
        <v>8</v>
      </c>
      <c r="V10" s="8" t="s">
        <v>292</v>
      </c>
      <c r="W10" s="17">
        <v>76</v>
      </c>
      <c r="X10" s="17" t="s">
        <v>71</v>
      </c>
      <c r="Y10" s="17">
        <v>5</v>
      </c>
      <c r="Z10" s="17" t="s">
        <v>261</v>
      </c>
      <c r="AA10" s="17">
        <v>6</v>
      </c>
      <c r="AB10" s="17" t="s">
        <v>323</v>
      </c>
      <c r="AC10" s="17" t="s">
        <v>324</v>
      </c>
      <c r="AD10" s="17" t="s">
        <v>325</v>
      </c>
    </row>
    <row r="11" ht="15" customHeight="1">
      <c r="A11" s="8" t="s">
        <v>326</v>
      </c>
      <c r="B11" s="8" t="s">
        <v>327</v>
      </c>
      <c r="C11" s="8" t="s">
        <v>328</v>
      </c>
      <c r="D11" s="8" t="s">
        <v>329</v>
      </c>
      <c r="E11" s="8" t="s">
        <v>300</v>
      </c>
      <c r="F11" s="8" t="s">
        <v>95</v>
      </c>
      <c r="G11" s="16">
        <v>500</v>
      </c>
      <c r="H11" s="16">
        <v>1470</v>
      </c>
      <c r="I11" s="8" t="s">
        <v>330</v>
      </c>
      <c r="J11" s="8" t="s">
        <v>331</v>
      </c>
      <c r="K11" s="8" t="s">
        <v>332</v>
      </c>
      <c r="L11" s="8" t="s">
        <v>333</v>
      </c>
      <c r="M11" s="8" t="s">
        <v>334</v>
      </c>
      <c r="N11" s="8" t="s">
        <v>335</v>
      </c>
      <c r="O11" s="8" t="s">
        <v>336</v>
      </c>
      <c r="P11" s="8" t="s">
        <v>337</v>
      </c>
      <c r="Q11" s="8" t="s">
        <v>226</v>
      </c>
      <c r="R11" s="8" t="s">
        <v>226</v>
      </c>
      <c r="S11" s="16">
        <v>9</v>
      </c>
      <c r="T11" s="16">
        <v>7</v>
      </c>
      <c r="U11" s="16">
        <v>9</v>
      </c>
      <c r="V11" s="8" t="s">
        <v>338</v>
      </c>
      <c r="W11" s="17">
        <v>83</v>
      </c>
      <c r="X11" s="17" t="s">
        <v>260</v>
      </c>
      <c r="Y11" s="17">
        <v>8</v>
      </c>
      <c r="Z11" s="17" t="s">
        <v>261</v>
      </c>
      <c r="AA11" s="17">
        <v>8</v>
      </c>
      <c r="AB11" s="17" t="s">
        <v>339</v>
      </c>
      <c r="AC11" s="17" t="s">
        <v>340</v>
      </c>
      <c r="AD11" s="17" t="s">
        <v>341</v>
      </c>
    </row>
    <row r="12" ht="15" customHeight="1">
      <c r="A12" s="8" t="s">
        <v>342</v>
      </c>
      <c r="B12" s="8" t="s">
        <v>343</v>
      </c>
      <c r="C12" s="8" t="s">
        <v>344</v>
      </c>
      <c r="D12" s="8">
        <v>2</v>
      </c>
      <c r="E12" s="8" t="s">
        <v>300</v>
      </c>
      <c r="F12" s="8" t="s">
        <v>345</v>
      </c>
      <c r="G12" s="16">
        <v>200</v>
      </c>
      <c r="H12" s="16">
        <v>2660</v>
      </c>
      <c r="I12" s="8" t="s">
        <v>346</v>
      </c>
      <c r="J12" s="8" t="s">
        <v>347</v>
      </c>
      <c r="K12" s="8" t="s">
        <v>303</v>
      </c>
      <c r="L12" s="8" t="s">
        <v>348</v>
      </c>
      <c r="M12" s="8" t="s">
        <v>349</v>
      </c>
      <c r="N12" s="8" t="s">
        <v>350</v>
      </c>
      <c r="O12" s="8" t="s">
        <v>351</v>
      </c>
      <c r="P12" s="8" t="s">
        <v>352</v>
      </c>
      <c r="Q12" s="8" t="s">
        <v>226</v>
      </c>
      <c r="R12" s="8" t="s">
        <v>226</v>
      </c>
      <c r="S12" s="16">
        <v>7</v>
      </c>
      <c r="T12" s="16">
        <v>10</v>
      </c>
      <c r="U12" s="16">
        <v>8</v>
      </c>
      <c r="V12" s="8" t="s">
        <v>245</v>
      </c>
      <c r="W12" s="17">
        <v>80</v>
      </c>
      <c r="X12" s="17" t="s">
        <v>260</v>
      </c>
      <c r="Y12" s="17">
        <v>6</v>
      </c>
      <c r="Z12" s="17" t="s">
        <v>261</v>
      </c>
      <c r="AA12" s="17">
        <v>5</v>
      </c>
      <c r="AB12" s="17" t="s">
        <v>353</v>
      </c>
      <c r="AC12" s="17" t="s">
        <v>263</v>
      </c>
      <c r="AD12" s="17" t="s">
        <v>354</v>
      </c>
    </row>
    <row r="13" ht="15" customHeight="1">
      <c r="A13" s="8" t="s">
        <v>355</v>
      </c>
      <c r="B13" s="8" t="s">
        <v>356</v>
      </c>
      <c r="C13" s="8" t="s">
        <v>357</v>
      </c>
      <c r="D13" s="8" t="s">
        <v>358</v>
      </c>
      <c r="E13" s="8" t="s">
        <v>300</v>
      </c>
      <c r="F13" s="8" t="s">
        <v>97</v>
      </c>
      <c r="G13" s="16">
        <v>369</v>
      </c>
      <c r="H13" s="16">
        <v>3220</v>
      </c>
      <c r="I13" s="8" t="s">
        <v>359</v>
      </c>
      <c r="J13" s="8" t="s">
        <v>360</v>
      </c>
      <c r="K13" s="8" t="s">
        <v>361</v>
      </c>
      <c r="L13" s="8" t="s">
        <v>362</v>
      </c>
      <c r="M13" s="8" t="s">
        <v>363</v>
      </c>
      <c r="N13" s="8" t="s">
        <v>364</v>
      </c>
      <c r="O13" s="8" t="s">
        <v>365</v>
      </c>
      <c r="P13" s="8" t="s">
        <v>366</v>
      </c>
      <c r="Q13" s="8" t="s">
        <v>367</v>
      </c>
      <c r="R13" s="8" t="s">
        <v>226</v>
      </c>
      <c r="S13" s="16">
        <v>8</v>
      </c>
      <c r="T13" s="16">
        <v>8</v>
      </c>
      <c r="U13" s="16">
        <v>8</v>
      </c>
      <c r="V13" s="8" t="s">
        <v>245</v>
      </c>
      <c r="W13" s="17">
        <v>72</v>
      </c>
      <c r="X13" s="17" t="s">
        <v>260</v>
      </c>
      <c r="Y13" s="17">
        <v>7</v>
      </c>
      <c r="Z13" s="17" t="s">
        <v>261</v>
      </c>
      <c r="AA13" s="17">
        <v>4</v>
      </c>
      <c r="AB13" s="17" t="s">
        <v>368</v>
      </c>
      <c r="AC13" s="17" t="s">
        <v>231</v>
      </c>
      <c r="AD13" s="17" t="s">
        <v>369</v>
      </c>
    </row>
    <row r="14" ht="15" customHeight="1">
      <c r="A14" s="8" t="s">
        <v>370</v>
      </c>
      <c r="B14" s="8" t="s">
        <v>371</v>
      </c>
      <c r="C14" s="8" t="s">
        <v>372</v>
      </c>
      <c r="D14" s="8" t="s">
        <v>373</v>
      </c>
      <c r="E14" s="8" t="s">
        <v>300</v>
      </c>
      <c r="F14" s="8" t="s">
        <v>99</v>
      </c>
      <c r="G14" s="16">
        <v>265</v>
      </c>
      <c r="H14" s="16">
        <v>510</v>
      </c>
      <c r="I14" s="8" t="s">
        <v>374</v>
      </c>
      <c r="J14" s="8" t="s">
        <v>375</v>
      </c>
      <c r="K14" s="8" t="s">
        <v>317</v>
      </c>
      <c r="L14" s="8" t="s">
        <v>376</v>
      </c>
      <c r="M14" s="8" t="s">
        <v>377</v>
      </c>
      <c r="N14" s="8" t="s">
        <v>378</v>
      </c>
      <c r="O14" s="8" t="s">
        <v>379</v>
      </c>
      <c r="P14" s="8" t="s">
        <v>380</v>
      </c>
      <c r="Q14" s="8" t="s">
        <v>381</v>
      </c>
      <c r="R14" s="8" t="s">
        <v>226</v>
      </c>
      <c r="S14" s="16">
        <v>9</v>
      </c>
      <c r="T14" s="16">
        <v>8</v>
      </c>
      <c r="U14" s="16">
        <v>9</v>
      </c>
      <c r="V14" s="8" t="s">
        <v>292</v>
      </c>
      <c r="W14" s="17">
        <v>82</v>
      </c>
      <c r="X14" s="17" t="s">
        <v>71</v>
      </c>
      <c r="Y14" s="17">
        <v>5</v>
      </c>
      <c r="Z14" s="17" t="s">
        <v>261</v>
      </c>
      <c r="AA14" s="17">
        <v>7</v>
      </c>
      <c r="AB14" s="17" t="s">
        <v>382</v>
      </c>
      <c r="AC14" s="17" t="s">
        <v>324</v>
      </c>
      <c r="AD14" s="17" t="s">
        <v>383</v>
      </c>
    </row>
    <row r="15" ht="15" customHeight="1">
      <c r="A15" s="8" t="s">
        <v>384</v>
      </c>
      <c r="B15" s="8" t="s">
        <v>385</v>
      </c>
      <c r="C15" s="8" t="s">
        <v>386</v>
      </c>
      <c r="D15" s="8">
        <v>2</v>
      </c>
      <c r="E15" s="8" t="s">
        <v>300</v>
      </c>
      <c r="F15" s="8" t="s">
        <v>101</v>
      </c>
      <c r="G15" s="16">
        <v>1100</v>
      </c>
      <c r="H15" s="16">
        <v>1530</v>
      </c>
      <c r="I15" s="8" t="s">
        <v>387</v>
      </c>
      <c r="J15" s="8" t="s">
        <v>388</v>
      </c>
      <c r="K15" s="8" t="s">
        <v>286</v>
      </c>
      <c r="L15" s="8" t="s">
        <v>389</v>
      </c>
      <c r="M15" s="8" t="s">
        <v>390</v>
      </c>
      <c r="N15" s="8" t="s">
        <v>391</v>
      </c>
      <c r="O15" s="8" t="s">
        <v>392</v>
      </c>
      <c r="P15" s="8" t="s">
        <v>393</v>
      </c>
      <c r="Q15" s="8" t="s">
        <v>394</v>
      </c>
      <c r="R15" s="8" t="s">
        <v>395</v>
      </c>
      <c r="S15" s="16">
        <v>10</v>
      </c>
      <c r="T15" s="16">
        <v>4</v>
      </c>
      <c r="U15" s="16">
        <v>10</v>
      </c>
      <c r="V15" s="8" t="s">
        <v>292</v>
      </c>
      <c r="W15" s="17">
        <v>81</v>
      </c>
      <c r="X15" s="17" t="s">
        <v>260</v>
      </c>
      <c r="Y15" s="17">
        <v>6</v>
      </c>
      <c r="Z15" s="17" t="s">
        <v>261</v>
      </c>
      <c r="AA15" s="17">
        <v>7</v>
      </c>
      <c r="AB15" s="17" t="s">
        <v>396</v>
      </c>
      <c r="AC15" s="17" t="s">
        <v>397</v>
      </c>
      <c r="AD15" s="17" t="s">
        <v>398</v>
      </c>
    </row>
    <row r="16" ht="15" customHeight="1">
      <c r="A16" s="8" t="s">
        <v>399</v>
      </c>
      <c r="B16" s="8" t="s">
        <v>400</v>
      </c>
      <c r="C16" s="8" t="s">
        <v>401</v>
      </c>
      <c r="D16" s="8" t="s">
        <v>402</v>
      </c>
      <c r="E16" s="8" t="s">
        <v>300</v>
      </c>
      <c r="F16" s="8" t="s">
        <v>101</v>
      </c>
      <c r="G16" s="16">
        <v>980</v>
      </c>
      <c r="H16" s="16">
        <v>2150</v>
      </c>
      <c r="I16" s="8" t="s">
        <v>403</v>
      </c>
      <c r="J16" s="8" t="s">
        <v>404</v>
      </c>
      <c r="K16" s="8" t="s">
        <v>220</v>
      </c>
      <c r="L16" s="8" t="s">
        <v>405</v>
      </c>
      <c r="M16" s="8" t="s">
        <v>406</v>
      </c>
      <c r="N16" s="8" t="s">
        <v>407</v>
      </c>
      <c r="O16" s="8" t="s">
        <v>408</v>
      </c>
      <c r="P16" s="8" t="s">
        <v>409</v>
      </c>
      <c r="Q16" s="8" t="s">
        <v>226</v>
      </c>
      <c r="R16" s="8" t="s">
        <v>226</v>
      </c>
      <c r="S16" s="16">
        <v>10</v>
      </c>
      <c r="T16" s="16">
        <v>5</v>
      </c>
      <c r="U16" s="16">
        <v>10</v>
      </c>
      <c r="V16" s="8" t="s">
        <v>245</v>
      </c>
      <c r="W16" s="17">
        <v>75</v>
      </c>
      <c r="X16" s="17" t="s">
        <v>69</v>
      </c>
      <c r="Y16" s="17">
        <v>7</v>
      </c>
      <c r="Z16" s="17" t="s">
        <v>261</v>
      </c>
      <c r="AA16" s="17">
        <v>6</v>
      </c>
      <c r="AB16" s="17" t="s">
        <v>309</v>
      </c>
      <c r="AC16" s="17" t="s">
        <v>231</v>
      </c>
      <c r="AD16" s="17" t="s">
        <v>410</v>
      </c>
    </row>
    <row r="17" ht="15" customHeight="1">
      <c r="A17" t="s">
        <v>411</v>
      </c>
      <c r="B17" t="s">
        <v>412</v>
      </c>
      <c r="C17" t="s">
        <v>413</v>
      </c>
      <c r="D17" t="s">
        <v>414</v>
      </c>
      <c r="E17" t="s">
        <v>38</v>
      </c>
      <c r="F17" t="s">
        <v>105</v>
      </c>
      <c r="G17" s="18">
        <v>560</v>
      </c>
      <c r="H17" s="19">
        <v>680</v>
      </c>
      <c r="I17" t="s">
        <v>415</v>
      </c>
      <c r="J17" t="s">
        <v>416</v>
      </c>
      <c r="K17" t="s">
        <v>220</v>
      </c>
      <c r="L17" t="s">
        <v>417</v>
      </c>
      <c r="M17" t="s">
        <v>418</v>
      </c>
      <c r="N17" t="s">
        <v>419</v>
      </c>
      <c r="O17" t="s">
        <v>420</v>
      </c>
      <c r="P17" t="s">
        <v>421</v>
      </c>
      <c r="Q17" t="s">
        <v>395</v>
      </c>
      <c r="R17" t="s">
        <v>226</v>
      </c>
      <c r="S17" s="19">
        <v>10</v>
      </c>
      <c r="T17" s="19">
        <v>5</v>
      </c>
      <c r="U17" s="19">
        <v>10</v>
      </c>
      <c r="V17" t="s">
        <v>245</v>
      </c>
      <c r="W17" s="17">
        <v>79</v>
      </c>
      <c r="X17" s="17" t="s">
        <v>69</v>
      </c>
      <c r="Y17" s="17">
        <v>8</v>
      </c>
      <c r="Z17" s="17" t="s">
        <v>261</v>
      </c>
      <c r="AA17" s="17">
        <v>6</v>
      </c>
      <c r="AB17" s="17" t="s">
        <v>422</v>
      </c>
      <c r="AC17" s="17" t="s">
        <v>263</v>
      </c>
      <c r="AD17" s="17" t="s">
        <v>423</v>
      </c>
    </row>
    <row r="18" ht="15" customHeight="1">
      <c r="A18" t="s">
        <v>424</v>
      </c>
      <c r="B18" t="s">
        <v>425</v>
      </c>
      <c r="C18" t="s">
        <v>357</v>
      </c>
      <c r="D18" t="s">
        <v>426</v>
      </c>
      <c r="E18" t="s">
        <v>38</v>
      </c>
      <c r="F18" t="s">
        <v>105</v>
      </c>
      <c r="G18" s="18">
        <v>389</v>
      </c>
      <c r="H18" s="19">
        <v>1070</v>
      </c>
      <c r="I18" t="s">
        <v>427</v>
      </c>
      <c r="J18" t="s">
        <v>428</v>
      </c>
      <c r="K18" t="s">
        <v>361</v>
      </c>
      <c r="L18" t="s">
        <v>429</v>
      </c>
      <c r="M18" t="s">
        <v>430</v>
      </c>
      <c r="N18" t="s">
        <v>431</v>
      </c>
      <c r="O18" t="s">
        <v>432</v>
      </c>
      <c r="P18" t="s">
        <v>433</v>
      </c>
      <c r="Q18" t="s">
        <v>226</v>
      </c>
      <c r="R18" t="s">
        <v>226</v>
      </c>
      <c r="S18" s="19">
        <v>9</v>
      </c>
      <c r="T18" s="19">
        <v>8</v>
      </c>
      <c r="U18" s="19">
        <v>9</v>
      </c>
      <c r="V18" t="s">
        <v>245</v>
      </c>
      <c r="W18" s="17">
        <v>76</v>
      </c>
      <c r="X18" s="17" t="s">
        <v>260</v>
      </c>
      <c r="Y18" s="17">
        <v>7</v>
      </c>
      <c r="Z18" s="17" t="s">
        <v>261</v>
      </c>
      <c r="AA18" s="17">
        <v>6</v>
      </c>
      <c r="AB18" s="17" t="s">
        <v>368</v>
      </c>
      <c r="AC18" s="17" t="s">
        <v>263</v>
      </c>
      <c r="AD18" s="17" t="s">
        <v>434</v>
      </c>
    </row>
    <row r="19" ht="15" customHeight="1">
      <c r="A19" t="s">
        <v>435</v>
      </c>
      <c r="B19" t="s">
        <v>436</v>
      </c>
      <c r="C19" t="s">
        <v>437</v>
      </c>
      <c r="D19" t="s">
        <v>426</v>
      </c>
      <c r="E19" t="s">
        <v>38</v>
      </c>
      <c r="F19" t="s">
        <v>105</v>
      </c>
      <c r="G19" s="18">
        <v>240</v>
      </c>
      <c r="H19" s="19">
        <v>1270</v>
      </c>
      <c r="I19" t="s">
        <v>438</v>
      </c>
      <c r="J19" t="s">
        <v>439</v>
      </c>
      <c r="K19" t="s">
        <v>440</v>
      </c>
      <c r="L19" t="s">
        <v>441</v>
      </c>
      <c r="M19" t="s">
        <v>442</v>
      </c>
      <c r="N19" t="s">
        <v>443</v>
      </c>
      <c r="O19" t="s">
        <v>444</v>
      </c>
      <c r="P19" t="s">
        <v>421</v>
      </c>
      <c r="Q19" t="s">
        <v>226</v>
      </c>
      <c r="R19" t="s">
        <v>226</v>
      </c>
      <c r="S19" s="19">
        <v>8</v>
      </c>
      <c r="T19" s="19">
        <v>9</v>
      </c>
      <c r="U19" s="19">
        <v>8</v>
      </c>
      <c r="V19" t="s">
        <v>245</v>
      </c>
      <c r="W19" s="17">
        <v>83</v>
      </c>
      <c r="X19" s="17" t="s">
        <v>228</v>
      </c>
      <c r="Y19" s="17">
        <v>7</v>
      </c>
      <c r="Z19" s="17" t="s">
        <v>261</v>
      </c>
      <c r="AA19" s="17">
        <v>7</v>
      </c>
      <c r="AB19" s="17" t="s">
        <v>309</v>
      </c>
      <c r="AC19" s="17" t="s">
        <v>263</v>
      </c>
      <c r="AD19" s="17" t="s">
        <v>445</v>
      </c>
    </row>
    <row r="20" ht="15" customHeight="1">
      <c r="A20" t="s">
        <v>446</v>
      </c>
      <c r="B20" t="s">
        <v>447</v>
      </c>
      <c r="C20" t="s">
        <v>281</v>
      </c>
      <c r="D20" t="s">
        <v>414</v>
      </c>
      <c r="E20" t="s">
        <v>38</v>
      </c>
      <c r="F20" t="s">
        <v>107</v>
      </c>
      <c r="G20" s="18">
        <v>410</v>
      </c>
      <c r="H20" s="19">
        <v>500</v>
      </c>
      <c r="I20" t="s">
        <v>448</v>
      </c>
      <c r="J20" t="s">
        <v>449</v>
      </c>
      <c r="K20" t="s">
        <v>303</v>
      </c>
      <c r="L20" t="s">
        <v>450</v>
      </c>
      <c r="M20" t="s">
        <v>451</v>
      </c>
      <c r="N20" t="s">
        <v>452</v>
      </c>
      <c r="O20" t="s">
        <v>453</v>
      </c>
      <c r="P20" t="s">
        <v>454</v>
      </c>
      <c r="Q20" t="s">
        <v>226</v>
      </c>
      <c r="R20" t="s">
        <v>226</v>
      </c>
      <c r="S20" s="19">
        <v>9</v>
      </c>
      <c r="T20" s="19">
        <v>6</v>
      </c>
      <c r="U20" s="19">
        <v>7</v>
      </c>
      <c r="V20" t="s">
        <v>245</v>
      </c>
      <c r="W20" s="17">
        <v>82</v>
      </c>
      <c r="X20" s="17" t="s">
        <v>260</v>
      </c>
      <c r="Y20" s="17">
        <v>8</v>
      </c>
      <c r="Z20" s="17" t="s">
        <v>261</v>
      </c>
      <c r="AA20" s="17">
        <v>7</v>
      </c>
      <c r="AB20" s="17" t="s">
        <v>422</v>
      </c>
      <c r="AC20" s="17" t="s">
        <v>455</v>
      </c>
      <c r="AD20" s="17" t="s">
        <v>456</v>
      </c>
    </row>
    <row r="21" ht="15" customHeight="1">
      <c r="A21" t="s">
        <v>457</v>
      </c>
      <c r="B21" t="s">
        <v>458</v>
      </c>
      <c r="C21" t="s">
        <v>459</v>
      </c>
      <c r="D21" t="s">
        <v>460</v>
      </c>
      <c r="E21" t="s">
        <v>38</v>
      </c>
      <c r="F21" t="s">
        <v>109</v>
      </c>
      <c r="G21" s="18">
        <v>350</v>
      </c>
      <c r="H21" s="19">
        <v>650</v>
      </c>
      <c r="I21" t="s">
        <v>461</v>
      </c>
      <c r="J21" t="s">
        <v>462</v>
      </c>
      <c r="K21" t="s">
        <v>220</v>
      </c>
      <c r="L21" t="s">
        <v>463</v>
      </c>
      <c r="M21" t="s">
        <v>464</v>
      </c>
      <c r="N21" t="s">
        <v>465</v>
      </c>
      <c r="O21" t="s">
        <v>466</v>
      </c>
      <c r="P21" t="s">
        <v>467</v>
      </c>
      <c r="Q21" t="s">
        <v>468</v>
      </c>
      <c r="R21" t="s">
        <v>226</v>
      </c>
      <c r="S21" s="19">
        <v>9</v>
      </c>
      <c r="T21" s="19">
        <v>8</v>
      </c>
      <c r="U21" s="19">
        <v>9</v>
      </c>
      <c r="V21" t="s">
        <v>469</v>
      </c>
      <c r="W21" s="17">
        <v>78</v>
      </c>
      <c r="X21" s="17" t="s">
        <v>69</v>
      </c>
      <c r="Y21" s="17">
        <v>6</v>
      </c>
      <c r="Z21" s="17" t="s">
        <v>261</v>
      </c>
      <c r="AA21" s="17">
        <v>7</v>
      </c>
      <c r="AB21" s="17" t="s">
        <v>353</v>
      </c>
      <c r="AC21" s="17" t="s">
        <v>470</v>
      </c>
      <c r="AD21" s="17" t="s">
        <v>471</v>
      </c>
    </row>
    <row r="22" ht="15" customHeight="1">
      <c r="A22" t="s">
        <v>472</v>
      </c>
      <c r="B22" t="s">
        <v>473</v>
      </c>
      <c r="C22" t="s">
        <v>474</v>
      </c>
      <c r="D22" t="s">
        <v>475</v>
      </c>
      <c r="E22" t="s">
        <v>38</v>
      </c>
      <c r="F22" t="s">
        <v>109</v>
      </c>
      <c r="G22" s="18">
        <v>300</v>
      </c>
      <c r="H22" s="19">
        <v>590</v>
      </c>
      <c r="I22" t="s">
        <v>476</v>
      </c>
      <c r="J22" t="s">
        <v>428</v>
      </c>
      <c r="K22" t="s">
        <v>220</v>
      </c>
      <c r="L22" t="s">
        <v>477</v>
      </c>
      <c r="M22" t="s">
        <v>478</v>
      </c>
      <c r="N22" t="s">
        <v>479</v>
      </c>
      <c r="O22" t="s">
        <v>480</v>
      </c>
      <c r="P22" t="s">
        <v>481</v>
      </c>
      <c r="Q22" t="s">
        <v>468</v>
      </c>
      <c r="R22" t="s">
        <v>226</v>
      </c>
      <c r="S22" s="19">
        <v>9</v>
      </c>
      <c r="T22" s="19">
        <v>9</v>
      </c>
      <c r="U22" s="19">
        <v>9</v>
      </c>
      <c r="V22" t="s">
        <v>469</v>
      </c>
      <c r="W22" s="17">
        <v>73</v>
      </c>
      <c r="X22" s="17" t="s">
        <v>260</v>
      </c>
      <c r="Y22" s="17">
        <v>7</v>
      </c>
      <c r="Z22" s="17" t="s">
        <v>261</v>
      </c>
      <c r="AA22" s="17">
        <v>5</v>
      </c>
      <c r="AB22" s="17" t="s">
        <v>368</v>
      </c>
      <c r="AC22" s="17" t="s">
        <v>231</v>
      </c>
      <c r="AD22" s="17" t="s">
        <v>482</v>
      </c>
    </row>
    <row r="23" ht="15" customHeight="1">
      <c r="A23" t="s">
        <v>483</v>
      </c>
      <c r="B23" t="s">
        <v>484</v>
      </c>
      <c r="C23" t="s">
        <v>485</v>
      </c>
      <c r="D23" t="s">
        <v>486</v>
      </c>
      <c r="E23" t="s">
        <v>38</v>
      </c>
      <c r="F23" t="s">
        <v>111</v>
      </c>
      <c r="G23" s="18">
        <v>200</v>
      </c>
      <c r="H23" s="19">
        <v>440</v>
      </c>
      <c r="I23" t="s">
        <v>487</v>
      </c>
      <c r="J23" t="s">
        <v>488</v>
      </c>
      <c r="K23" t="s">
        <v>303</v>
      </c>
      <c r="L23" t="s">
        <v>489</v>
      </c>
      <c r="M23" t="s">
        <v>490</v>
      </c>
      <c r="N23" t="s">
        <v>491</v>
      </c>
      <c r="O23" t="s">
        <v>492</v>
      </c>
      <c r="P23" t="s">
        <v>493</v>
      </c>
      <c r="Q23" t="s">
        <v>226</v>
      </c>
      <c r="R23" t="s">
        <v>226</v>
      </c>
      <c r="S23" s="19">
        <v>9</v>
      </c>
      <c r="T23" s="19">
        <v>8</v>
      </c>
      <c r="U23" s="19">
        <v>8</v>
      </c>
      <c r="V23" t="s">
        <v>245</v>
      </c>
      <c r="W23" s="17">
        <v>85</v>
      </c>
      <c r="X23" s="17" t="s">
        <v>228</v>
      </c>
      <c r="Y23" s="17">
        <v>8</v>
      </c>
      <c r="Z23" s="17" t="s">
        <v>229</v>
      </c>
      <c r="AA23" s="17">
        <v>7</v>
      </c>
      <c r="AB23" s="17" t="s">
        <v>494</v>
      </c>
      <c r="AC23" s="17" t="s">
        <v>277</v>
      </c>
      <c r="AD23" s="17" t="s">
        <v>495</v>
      </c>
    </row>
    <row r="24" ht="15" customHeight="1">
      <c r="A24" t="s">
        <v>496</v>
      </c>
      <c r="B24" t="s">
        <v>497</v>
      </c>
      <c r="C24" t="s">
        <v>498</v>
      </c>
      <c r="D24" t="s">
        <v>499</v>
      </c>
      <c r="E24" t="s">
        <v>38</v>
      </c>
      <c r="F24" t="s">
        <v>111</v>
      </c>
      <c r="G24" s="18">
        <v>190</v>
      </c>
      <c r="H24" s="19">
        <v>390</v>
      </c>
      <c r="I24" t="s">
        <v>500</v>
      </c>
      <c r="J24" t="s">
        <v>501</v>
      </c>
      <c r="K24" t="s">
        <v>303</v>
      </c>
      <c r="L24" t="s">
        <v>502</v>
      </c>
      <c r="M24" t="s">
        <v>503</v>
      </c>
      <c r="N24" t="s">
        <v>504</v>
      </c>
      <c r="O24" t="s">
        <v>505</v>
      </c>
      <c r="P24" t="s">
        <v>506</v>
      </c>
      <c r="Q24" t="s">
        <v>226</v>
      </c>
      <c r="R24" t="s">
        <v>226</v>
      </c>
      <c r="S24" s="19">
        <v>9</v>
      </c>
      <c r="T24" s="19">
        <v>8</v>
      </c>
      <c r="U24" s="19">
        <v>8</v>
      </c>
      <c r="V24" t="s">
        <v>245</v>
      </c>
      <c r="W24" s="17">
        <v>84</v>
      </c>
      <c r="X24" s="17" t="s">
        <v>228</v>
      </c>
      <c r="Y24" s="17">
        <v>7</v>
      </c>
      <c r="Z24" s="17" t="s">
        <v>261</v>
      </c>
      <c r="AA24" s="17">
        <v>7</v>
      </c>
      <c r="AB24" s="17" t="s">
        <v>309</v>
      </c>
      <c r="AC24" s="17" t="s">
        <v>263</v>
      </c>
      <c r="AD24" s="17" t="s">
        <v>507</v>
      </c>
    </row>
    <row r="25" ht="15" customHeight="1">
      <c r="A25" t="s">
        <v>508</v>
      </c>
      <c r="B25" t="s">
        <v>509</v>
      </c>
      <c r="C25" t="s">
        <v>510</v>
      </c>
      <c r="D25" t="s">
        <v>511</v>
      </c>
      <c r="E25" t="s">
        <v>38</v>
      </c>
      <c r="F25" t="s">
        <v>111</v>
      </c>
      <c r="G25" s="18">
        <v>45</v>
      </c>
      <c r="H25" s="19">
        <v>535</v>
      </c>
      <c r="I25" t="s">
        <v>512</v>
      </c>
      <c r="J25" t="s">
        <v>513</v>
      </c>
      <c r="K25" t="s">
        <v>303</v>
      </c>
      <c r="L25" t="s">
        <v>514</v>
      </c>
      <c r="M25" t="s">
        <v>515</v>
      </c>
      <c r="N25" t="s">
        <v>516</v>
      </c>
      <c r="O25" t="s">
        <v>517</v>
      </c>
      <c r="P25" t="s">
        <v>518</v>
      </c>
      <c r="Q25" t="s">
        <v>226</v>
      </c>
      <c r="R25" t="s">
        <v>226</v>
      </c>
      <c r="S25" s="19">
        <v>7</v>
      </c>
      <c r="T25" s="19">
        <v>10</v>
      </c>
      <c r="U25" s="19">
        <v>7</v>
      </c>
      <c r="V25" t="s">
        <v>245</v>
      </c>
      <c r="W25" s="17">
        <v>76</v>
      </c>
      <c r="X25" s="17" t="s">
        <v>260</v>
      </c>
      <c r="Y25" s="17">
        <v>7</v>
      </c>
      <c r="Z25" s="17" t="s">
        <v>261</v>
      </c>
      <c r="AA25" s="17">
        <v>5</v>
      </c>
      <c r="AB25" s="17" t="s">
        <v>368</v>
      </c>
      <c r="AC25" s="17" t="s">
        <v>231</v>
      </c>
      <c r="AD25" s="17" t="s">
        <v>519</v>
      </c>
    </row>
    <row r="26" ht="15" customHeight="1">
      <c r="A26" t="s">
        <v>520</v>
      </c>
      <c r="B26" t="s">
        <v>521</v>
      </c>
      <c r="C26" t="s">
        <v>485</v>
      </c>
      <c r="D26" t="s">
        <v>522</v>
      </c>
      <c r="E26" t="s">
        <v>38</v>
      </c>
      <c r="F26" t="s">
        <v>113</v>
      </c>
      <c r="G26" s="18">
        <v>45</v>
      </c>
      <c r="H26" s="19">
        <v>80</v>
      </c>
      <c r="I26" t="s">
        <v>523</v>
      </c>
      <c r="J26" t="s">
        <v>524</v>
      </c>
      <c r="K26" t="s">
        <v>303</v>
      </c>
      <c r="L26" t="s">
        <v>525</v>
      </c>
      <c r="M26" t="s">
        <v>526</v>
      </c>
      <c r="N26" t="s">
        <v>527</v>
      </c>
      <c r="O26" t="s">
        <v>528</v>
      </c>
      <c r="P26" t="s">
        <v>529</v>
      </c>
      <c r="Q26" t="s">
        <v>226</v>
      </c>
      <c r="R26" t="s">
        <v>226</v>
      </c>
      <c r="S26" s="19">
        <v>9</v>
      </c>
      <c r="T26" s="19">
        <v>7</v>
      </c>
      <c r="U26" s="19">
        <v>8</v>
      </c>
      <c r="V26" t="s">
        <v>469</v>
      </c>
      <c r="W26" s="17">
        <v>80</v>
      </c>
      <c r="X26" s="17" t="s">
        <v>69</v>
      </c>
      <c r="Y26" s="17">
        <v>8</v>
      </c>
      <c r="Z26" s="17" t="s">
        <v>229</v>
      </c>
      <c r="AA26" s="17">
        <v>6</v>
      </c>
      <c r="AB26" s="17" t="s">
        <v>530</v>
      </c>
      <c r="AC26" s="17" t="s">
        <v>277</v>
      </c>
      <c r="AD26" s="17" t="s">
        <v>531</v>
      </c>
    </row>
    <row r="27" ht="15" customHeight="1">
      <c r="A27" t="s">
        <v>532</v>
      </c>
      <c r="B27" t="s">
        <v>533</v>
      </c>
      <c r="C27" t="s">
        <v>534</v>
      </c>
      <c r="D27" t="s">
        <v>535</v>
      </c>
      <c r="E27" t="s">
        <v>41</v>
      </c>
      <c r="F27" t="s">
        <v>117</v>
      </c>
      <c r="G27" s="18">
        <v>65</v>
      </c>
      <c r="H27" s="19">
        <v>108</v>
      </c>
      <c r="I27" t="s">
        <v>536</v>
      </c>
      <c r="J27" t="s">
        <v>537</v>
      </c>
      <c r="K27" t="s">
        <v>286</v>
      </c>
      <c r="L27" t="s">
        <v>538</v>
      </c>
      <c r="M27" t="s">
        <v>539</v>
      </c>
      <c r="N27" t="s">
        <v>540</v>
      </c>
      <c r="O27" t="s">
        <v>541</v>
      </c>
      <c r="P27" t="s">
        <v>542</v>
      </c>
      <c r="Q27" t="s">
        <v>226</v>
      </c>
      <c r="R27" t="s">
        <v>226</v>
      </c>
      <c r="S27" s="19">
        <v>10</v>
      </c>
      <c r="T27" s="19">
        <v>9</v>
      </c>
      <c r="U27" s="19">
        <v>9</v>
      </c>
      <c r="V27" t="s">
        <v>245</v>
      </c>
      <c r="W27" s="17">
        <v>92</v>
      </c>
      <c r="X27" s="17" t="s">
        <v>228</v>
      </c>
      <c r="Y27" s="17">
        <v>9</v>
      </c>
      <c r="Z27" s="17" t="s">
        <v>229</v>
      </c>
      <c r="AA27" s="17">
        <v>8</v>
      </c>
      <c r="AB27" s="17" t="s">
        <v>543</v>
      </c>
      <c r="AC27" s="17" t="s">
        <v>277</v>
      </c>
      <c r="AD27" s="17" t="s">
        <v>544</v>
      </c>
    </row>
    <row r="28" ht="15" customHeight="1">
      <c r="A28" t="s">
        <v>545</v>
      </c>
      <c r="B28" t="s">
        <v>546</v>
      </c>
      <c r="C28" t="s">
        <v>534</v>
      </c>
      <c r="D28" t="s">
        <v>547</v>
      </c>
      <c r="E28" t="s">
        <v>41</v>
      </c>
      <c r="F28" t="s">
        <v>117</v>
      </c>
      <c r="G28" s="18">
        <v>45</v>
      </c>
      <c r="H28" s="19">
        <v>102</v>
      </c>
      <c r="I28" t="s">
        <v>548</v>
      </c>
      <c r="J28" t="s">
        <v>549</v>
      </c>
      <c r="K28" t="s">
        <v>286</v>
      </c>
      <c r="L28" t="s">
        <v>550</v>
      </c>
      <c r="M28" t="s">
        <v>551</v>
      </c>
      <c r="N28" t="s">
        <v>552</v>
      </c>
      <c r="O28" t="s">
        <v>553</v>
      </c>
      <c r="P28" t="s">
        <v>554</v>
      </c>
      <c r="Q28" t="s">
        <v>226</v>
      </c>
      <c r="R28" t="s">
        <v>226</v>
      </c>
      <c r="S28" s="19">
        <v>9</v>
      </c>
      <c r="T28" s="19">
        <v>10</v>
      </c>
      <c r="U28" s="19">
        <v>8</v>
      </c>
      <c r="V28" t="s">
        <v>245</v>
      </c>
      <c r="W28" s="17">
        <v>88</v>
      </c>
      <c r="X28" s="17" t="s">
        <v>260</v>
      </c>
      <c r="Y28" s="17">
        <v>8</v>
      </c>
      <c r="Z28" s="17" t="s">
        <v>229</v>
      </c>
      <c r="AA28" s="17">
        <v>7</v>
      </c>
      <c r="AB28" s="17" t="s">
        <v>555</v>
      </c>
      <c r="AC28" s="17" t="s">
        <v>263</v>
      </c>
      <c r="AD28" s="17" t="s">
        <v>556</v>
      </c>
    </row>
    <row r="29" ht="15" customHeight="1">
      <c r="A29" t="s">
        <v>557</v>
      </c>
      <c r="B29" t="s">
        <v>554</v>
      </c>
      <c r="C29" t="s">
        <v>558</v>
      </c>
      <c r="D29" t="s">
        <v>522</v>
      </c>
      <c r="E29" t="s">
        <v>41</v>
      </c>
      <c r="F29" t="s">
        <v>117</v>
      </c>
      <c r="G29" s="18">
        <v>15</v>
      </c>
      <c r="H29" s="19">
        <v>40</v>
      </c>
      <c r="I29" t="s">
        <v>559</v>
      </c>
      <c r="J29" t="s">
        <v>560</v>
      </c>
      <c r="K29" t="s">
        <v>317</v>
      </c>
      <c r="L29" t="s">
        <v>561</v>
      </c>
      <c r="M29" t="s">
        <v>562</v>
      </c>
      <c r="N29" t="s">
        <v>563</v>
      </c>
      <c r="O29" t="s">
        <v>542</v>
      </c>
      <c r="P29" t="s">
        <v>564</v>
      </c>
      <c r="Q29" t="s">
        <v>565</v>
      </c>
      <c r="R29" t="s">
        <v>226</v>
      </c>
      <c r="S29" s="19">
        <v>6</v>
      </c>
      <c r="T29" s="19">
        <v>10</v>
      </c>
      <c r="U29" s="19">
        <v>5</v>
      </c>
      <c r="V29" t="s">
        <v>566</v>
      </c>
      <c r="W29" s="17">
        <v>68</v>
      </c>
      <c r="X29" s="17" t="s">
        <v>69</v>
      </c>
      <c r="Y29" s="17">
        <v>5</v>
      </c>
      <c r="Z29" s="17" t="s">
        <v>229</v>
      </c>
      <c r="AA29" s="17">
        <v>3</v>
      </c>
      <c r="AB29" s="17" t="s">
        <v>567</v>
      </c>
      <c r="AC29" s="17" t="s">
        <v>470</v>
      </c>
      <c r="AD29" s="17" t="s">
        <v>568</v>
      </c>
    </row>
    <row r="30" ht="15" customHeight="1">
      <c r="A30" t="s">
        <v>569</v>
      </c>
      <c r="B30" t="s">
        <v>570</v>
      </c>
      <c r="C30" t="s">
        <v>571</v>
      </c>
      <c r="D30">
        <v>2</v>
      </c>
      <c r="E30" t="s">
        <v>41</v>
      </c>
      <c r="F30" t="s">
        <v>119</v>
      </c>
      <c r="G30" s="18">
        <v>165</v>
      </c>
      <c r="H30" s="19">
        <v>360</v>
      </c>
      <c r="I30" t="s">
        <v>572</v>
      </c>
      <c r="J30" t="s">
        <v>573</v>
      </c>
      <c r="K30" t="s">
        <v>303</v>
      </c>
      <c r="L30" t="s">
        <v>574</v>
      </c>
      <c r="M30" t="s">
        <v>575</v>
      </c>
      <c r="N30" t="s">
        <v>576</v>
      </c>
      <c r="O30" t="s">
        <v>577</v>
      </c>
      <c r="P30" t="s">
        <v>578</v>
      </c>
      <c r="Q30" t="s">
        <v>226</v>
      </c>
      <c r="R30" t="s">
        <v>226</v>
      </c>
      <c r="S30" s="19">
        <v>9</v>
      </c>
      <c r="T30" s="19">
        <v>7</v>
      </c>
      <c r="U30" s="19">
        <v>9</v>
      </c>
      <c r="V30" t="s">
        <v>245</v>
      </c>
      <c r="W30" s="17">
        <v>85</v>
      </c>
      <c r="X30" s="17" t="s">
        <v>228</v>
      </c>
      <c r="Y30" s="17">
        <v>8</v>
      </c>
      <c r="Z30" s="17" t="s">
        <v>229</v>
      </c>
      <c r="AA30" s="17">
        <v>7</v>
      </c>
      <c r="AB30" s="17" t="s">
        <v>494</v>
      </c>
      <c r="AC30" s="17" t="s">
        <v>277</v>
      </c>
      <c r="AD30" s="17" t="s">
        <v>579</v>
      </c>
    </row>
    <row r="31" ht="15" customHeight="1">
      <c r="A31" t="s">
        <v>580</v>
      </c>
      <c r="B31" t="s">
        <v>581</v>
      </c>
      <c r="C31" t="s">
        <v>571</v>
      </c>
      <c r="D31" t="s">
        <v>582</v>
      </c>
      <c r="E31" t="s">
        <v>41</v>
      </c>
      <c r="F31" t="s">
        <v>119</v>
      </c>
      <c r="G31" s="18">
        <v>150</v>
      </c>
      <c r="H31" s="19">
        <v>207</v>
      </c>
      <c r="I31" t="s">
        <v>583</v>
      </c>
      <c r="J31" t="s">
        <v>584</v>
      </c>
      <c r="K31" t="s">
        <v>303</v>
      </c>
      <c r="L31" t="s">
        <v>585</v>
      </c>
      <c r="M31" t="s">
        <v>586</v>
      </c>
      <c r="N31" t="s">
        <v>587</v>
      </c>
      <c r="O31" t="s">
        <v>588</v>
      </c>
      <c r="P31" t="s">
        <v>589</v>
      </c>
      <c r="Q31" t="s">
        <v>226</v>
      </c>
      <c r="R31" t="s">
        <v>226</v>
      </c>
      <c r="S31" s="19">
        <v>8</v>
      </c>
      <c r="T31" s="19">
        <v>8</v>
      </c>
      <c r="U31" s="19">
        <v>8</v>
      </c>
      <c r="V31" t="s">
        <v>245</v>
      </c>
      <c r="W31" s="17">
        <v>82</v>
      </c>
      <c r="X31" s="17" t="s">
        <v>260</v>
      </c>
      <c r="Y31" s="17">
        <v>7</v>
      </c>
      <c r="Z31" s="17" t="s">
        <v>229</v>
      </c>
      <c r="AA31" s="17">
        <v>6</v>
      </c>
      <c r="AB31" s="17" t="s">
        <v>309</v>
      </c>
      <c r="AC31" s="17" t="s">
        <v>263</v>
      </c>
      <c r="AD31" s="17" t="s">
        <v>590</v>
      </c>
    </row>
    <row r="32" ht="15" customHeight="1">
      <c r="A32" t="s">
        <v>591</v>
      </c>
      <c r="B32" t="s">
        <v>592</v>
      </c>
      <c r="C32" t="s">
        <v>593</v>
      </c>
      <c r="D32" t="s">
        <v>594</v>
      </c>
      <c r="E32" t="s">
        <v>41</v>
      </c>
      <c r="F32" t="s">
        <v>121</v>
      </c>
      <c r="G32" s="18">
        <v>100</v>
      </c>
      <c r="H32" s="19">
        <v>635</v>
      </c>
      <c r="I32" t="s">
        <v>595</v>
      </c>
      <c r="J32" t="s">
        <v>596</v>
      </c>
      <c r="K32" t="s">
        <v>303</v>
      </c>
      <c r="L32" t="s">
        <v>597</v>
      </c>
      <c r="M32" t="s">
        <v>598</v>
      </c>
      <c r="N32" t="s">
        <v>599</v>
      </c>
      <c r="O32" t="s">
        <v>600</v>
      </c>
      <c r="P32" t="s">
        <v>601</v>
      </c>
      <c r="Q32" t="s">
        <v>226</v>
      </c>
      <c r="R32" t="s">
        <v>226</v>
      </c>
      <c r="S32" s="19">
        <v>9</v>
      </c>
      <c r="T32" s="19">
        <v>8</v>
      </c>
      <c r="U32" s="19">
        <v>9</v>
      </c>
      <c r="V32" t="s">
        <v>245</v>
      </c>
      <c r="W32" s="17">
        <v>86</v>
      </c>
      <c r="X32" s="17" t="s">
        <v>260</v>
      </c>
      <c r="Y32" s="17">
        <v>8</v>
      </c>
      <c r="Z32" s="17" t="s">
        <v>229</v>
      </c>
      <c r="AA32" s="17">
        <v>7</v>
      </c>
      <c r="AB32" s="17" t="s">
        <v>339</v>
      </c>
      <c r="AC32" s="17" t="s">
        <v>277</v>
      </c>
      <c r="AD32" s="17" t="s">
        <v>602</v>
      </c>
    </row>
    <row r="33" ht="15" customHeight="1">
      <c r="A33" t="s">
        <v>603</v>
      </c>
      <c r="B33" t="s">
        <v>604</v>
      </c>
      <c r="C33" t="s">
        <v>605</v>
      </c>
      <c r="D33">
        <v>2</v>
      </c>
      <c r="E33" t="s">
        <v>41</v>
      </c>
      <c r="F33" t="s">
        <v>121</v>
      </c>
      <c r="G33" s="18">
        <v>70</v>
      </c>
      <c r="H33" s="19">
        <v>115</v>
      </c>
      <c r="I33" t="s">
        <v>606</v>
      </c>
      <c r="J33" t="s">
        <v>560</v>
      </c>
      <c r="K33" t="s">
        <v>220</v>
      </c>
      <c r="L33" t="s">
        <v>607</v>
      </c>
      <c r="M33" t="s">
        <v>608</v>
      </c>
      <c r="N33" t="s">
        <v>609</v>
      </c>
      <c r="O33" t="s">
        <v>610</v>
      </c>
      <c r="P33" t="s">
        <v>611</v>
      </c>
      <c r="Q33" t="s">
        <v>226</v>
      </c>
      <c r="R33" t="s">
        <v>226</v>
      </c>
      <c r="S33" s="19">
        <v>9</v>
      </c>
      <c r="T33" s="19">
        <v>8</v>
      </c>
      <c r="U33" s="19">
        <v>10</v>
      </c>
      <c r="V33" t="s">
        <v>245</v>
      </c>
      <c r="W33" s="17">
        <v>84</v>
      </c>
      <c r="X33" s="17" t="s">
        <v>69</v>
      </c>
      <c r="Y33" s="17">
        <v>6</v>
      </c>
      <c r="Z33" s="17" t="s">
        <v>229</v>
      </c>
      <c r="AA33" s="17">
        <v>8</v>
      </c>
      <c r="AB33" s="17" t="s">
        <v>353</v>
      </c>
      <c r="AC33" s="17" t="s">
        <v>277</v>
      </c>
      <c r="AD33" s="17" t="s">
        <v>612</v>
      </c>
    </row>
    <row r="34" ht="15" customHeight="1">
      <c r="A34" t="s">
        <v>613</v>
      </c>
      <c r="B34" t="s">
        <v>614</v>
      </c>
      <c r="C34" t="s">
        <v>328</v>
      </c>
      <c r="D34" t="s">
        <v>615</v>
      </c>
      <c r="E34" t="s">
        <v>41</v>
      </c>
      <c r="F34" t="s">
        <v>121</v>
      </c>
      <c r="G34" s="18">
        <v>85</v>
      </c>
      <c r="H34" s="19">
        <v>454</v>
      </c>
      <c r="I34" t="s">
        <v>616</v>
      </c>
      <c r="J34" t="s">
        <v>617</v>
      </c>
      <c r="K34" t="s">
        <v>332</v>
      </c>
      <c r="L34" t="s">
        <v>618</v>
      </c>
      <c r="M34" t="s">
        <v>619</v>
      </c>
      <c r="N34" t="s">
        <v>620</v>
      </c>
      <c r="O34" t="s">
        <v>621</v>
      </c>
      <c r="P34" t="s">
        <v>622</v>
      </c>
      <c r="Q34" t="s">
        <v>226</v>
      </c>
      <c r="R34" t="s">
        <v>226</v>
      </c>
      <c r="S34" s="19">
        <v>8</v>
      </c>
      <c r="T34" s="19">
        <v>8</v>
      </c>
      <c r="U34" s="19">
        <v>8</v>
      </c>
      <c r="V34" t="s">
        <v>245</v>
      </c>
      <c r="W34" s="17">
        <v>80</v>
      </c>
      <c r="X34" s="17" t="s">
        <v>69</v>
      </c>
      <c r="Y34" s="17">
        <v>7</v>
      </c>
      <c r="Z34" s="17" t="s">
        <v>229</v>
      </c>
      <c r="AA34" s="17">
        <v>7</v>
      </c>
      <c r="AB34" s="17" t="s">
        <v>422</v>
      </c>
      <c r="AC34" s="17" t="s">
        <v>277</v>
      </c>
      <c r="AD34" s="17" t="s">
        <v>623</v>
      </c>
    </row>
    <row r="35" ht="15" customHeight="1">
      <c r="A35" t="s">
        <v>624</v>
      </c>
      <c r="B35" t="s">
        <v>625</v>
      </c>
      <c r="C35" t="s">
        <v>281</v>
      </c>
      <c r="D35" t="s">
        <v>626</v>
      </c>
      <c r="E35" t="s">
        <v>41</v>
      </c>
      <c r="F35" t="s">
        <v>123</v>
      </c>
      <c r="G35" s="18">
        <v>12</v>
      </c>
      <c r="H35" s="19">
        <v>11</v>
      </c>
      <c r="I35" t="s">
        <v>627</v>
      </c>
      <c r="J35" t="s">
        <v>628</v>
      </c>
      <c r="K35" t="s">
        <v>303</v>
      </c>
      <c r="L35" t="s">
        <v>629</v>
      </c>
      <c r="M35" t="s">
        <v>630</v>
      </c>
      <c r="N35" t="s">
        <v>631</v>
      </c>
      <c r="O35" t="s">
        <v>632</v>
      </c>
      <c r="P35" t="s">
        <v>633</v>
      </c>
      <c r="Q35" t="s">
        <v>226</v>
      </c>
      <c r="R35" t="s">
        <v>226</v>
      </c>
      <c r="S35" s="19">
        <v>8</v>
      </c>
      <c r="T35" s="19">
        <v>9</v>
      </c>
      <c r="U35" s="19">
        <v>8</v>
      </c>
      <c r="V35" t="s">
        <v>469</v>
      </c>
      <c r="W35" s="17">
        <v>82</v>
      </c>
      <c r="X35" s="17" t="s">
        <v>228</v>
      </c>
      <c r="Y35" s="17">
        <v>9</v>
      </c>
      <c r="Z35" s="17" t="s">
        <v>229</v>
      </c>
      <c r="AA35" s="17">
        <v>8</v>
      </c>
      <c r="AB35" s="17" t="s">
        <v>634</v>
      </c>
      <c r="AC35" s="17" t="s">
        <v>277</v>
      </c>
      <c r="AD35" s="17" t="s">
        <v>635</v>
      </c>
    </row>
    <row r="36" ht="15" customHeight="1">
      <c r="A36" t="s">
        <v>636</v>
      </c>
      <c r="B36" t="s">
        <v>637</v>
      </c>
      <c r="C36" t="s">
        <v>638</v>
      </c>
      <c r="D36" t="s">
        <v>639</v>
      </c>
      <c r="E36" t="s">
        <v>41</v>
      </c>
      <c r="F36" t="s">
        <v>123</v>
      </c>
      <c r="G36" s="18">
        <v>18</v>
      </c>
      <c r="H36" s="19">
        <v>45</v>
      </c>
      <c r="I36" t="s">
        <v>640</v>
      </c>
      <c r="J36" t="s">
        <v>641</v>
      </c>
      <c r="K36" t="s">
        <v>220</v>
      </c>
      <c r="L36" t="s">
        <v>642</v>
      </c>
      <c r="M36" t="s">
        <v>643</v>
      </c>
      <c r="N36" t="s">
        <v>644</v>
      </c>
      <c r="O36" t="s">
        <v>645</v>
      </c>
      <c r="P36" t="s">
        <v>646</v>
      </c>
      <c r="Q36" t="s">
        <v>394</v>
      </c>
      <c r="R36" t="s">
        <v>226</v>
      </c>
      <c r="S36" s="19">
        <v>9</v>
      </c>
      <c r="T36" s="19">
        <v>10</v>
      </c>
      <c r="U36" s="19">
        <v>9</v>
      </c>
      <c r="V36" t="s">
        <v>245</v>
      </c>
      <c r="W36" s="17">
        <v>90</v>
      </c>
      <c r="X36" s="17" t="s">
        <v>228</v>
      </c>
      <c r="Y36" s="17">
        <v>9</v>
      </c>
      <c r="Z36" s="17" t="s">
        <v>647</v>
      </c>
      <c r="AA36" s="17">
        <v>10</v>
      </c>
      <c r="AB36" s="17" t="s">
        <v>648</v>
      </c>
      <c r="AC36" s="17" t="s">
        <v>277</v>
      </c>
      <c r="AD36" s="17" t="s">
        <v>649</v>
      </c>
    </row>
    <row r="37" ht="15" customHeight="1">
      <c r="A37" t="s">
        <v>650</v>
      </c>
      <c r="B37" t="s">
        <v>651</v>
      </c>
      <c r="C37" t="s">
        <v>652</v>
      </c>
      <c r="D37" t="s">
        <v>653</v>
      </c>
      <c r="E37" t="s">
        <v>654</v>
      </c>
      <c r="F37" t="s">
        <v>127</v>
      </c>
      <c r="G37" s="19">
        <v>40</v>
      </c>
      <c r="H37" s="19">
        <v>108</v>
      </c>
      <c r="I37" t="s">
        <v>655</v>
      </c>
      <c r="J37" t="s">
        <v>656</v>
      </c>
      <c r="K37" t="s">
        <v>657</v>
      </c>
      <c r="L37" t="s">
        <v>658</v>
      </c>
      <c r="M37" t="s">
        <v>659</v>
      </c>
      <c r="N37" t="s">
        <v>660</v>
      </c>
      <c r="O37" t="s">
        <v>661</v>
      </c>
      <c r="P37" t="s">
        <v>662</v>
      </c>
      <c r="Q37" t="s">
        <v>226</v>
      </c>
      <c r="R37" t="s">
        <v>226</v>
      </c>
      <c r="S37">
        <v>9</v>
      </c>
      <c r="T37">
        <v>9</v>
      </c>
      <c r="U37">
        <v>8</v>
      </c>
      <c r="V37" t="s">
        <v>245</v>
      </c>
      <c r="W37" s="17">
        <v>86</v>
      </c>
      <c r="X37" s="17" t="s">
        <v>228</v>
      </c>
      <c r="Y37" s="17">
        <v>8</v>
      </c>
      <c r="Z37" s="17" t="s">
        <v>229</v>
      </c>
      <c r="AA37" s="17">
        <v>7</v>
      </c>
      <c r="AB37" s="17" t="s">
        <v>663</v>
      </c>
      <c r="AC37" s="17" t="s">
        <v>277</v>
      </c>
      <c r="AD37" s="17" t="s">
        <v>664</v>
      </c>
    </row>
    <row r="38" ht="15" customHeight="1">
      <c r="A38" t="s">
        <v>665</v>
      </c>
      <c r="B38" t="s">
        <v>666</v>
      </c>
      <c r="C38" t="s">
        <v>667</v>
      </c>
      <c r="D38" t="s">
        <v>668</v>
      </c>
      <c r="E38" t="s">
        <v>654</v>
      </c>
      <c r="F38" t="s">
        <v>127</v>
      </c>
      <c r="G38" s="19">
        <v>60</v>
      </c>
      <c r="H38" s="19">
        <v>225</v>
      </c>
      <c r="I38" t="s">
        <v>669</v>
      </c>
      <c r="J38" t="s">
        <v>670</v>
      </c>
      <c r="K38" t="s">
        <v>671</v>
      </c>
      <c r="L38" t="s">
        <v>672</v>
      </c>
      <c r="M38" t="s">
        <v>673</v>
      </c>
      <c r="N38" t="s">
        <v>674</v>
      </c>
      <c r="O38" t="s">
        <v>675</v>
      </c>
      <c r="P38" t="s">
        <v>676</v>
      </c>
      <c r="Q38" t="s">
        <v>226</v>
      </c>
      <c r="R38" t="s">
        <v>226</v>
      </c>
      <c r="S38">
        <v>9</v>
      </c>
      <c r="T38">
        <v>8</v>
      </c>
      <c r="U38">
        <v>10</v>
      </c>
      <c r="V38" t="s">
        <v>245</v>
      </c>
      <c r="W38" s="17">
        <v>87</v>
      </c>
      <c r="X38" s="17" t="s">
        <v>228</v>
      </c>
      <c r="Y38" s="17">
        <v>8</v>
      </c>
      <c r="Z38" s="17" t="s">
        <v>229</v>
      </c>
      <c r="AA38" s="17">
        <v>8</v>
      </c>
      <c r="AB38" s="17" t="s">
        <v>677</v>
      </c>
      <c r="AC38" s="17" t="s">
        <v>277</v>
      </c>
      <c r="AD38" s="17" t="s">
        <v>678</v>
      </c>
    </row>
    <row r="39" ht="15" customHeight="1">
      <c r="A39" t="s">
        <v>679</v>
      </c>
      <c r="B39" t="s">
        <v>680</v>
      </c>
      <c r="C39" t="s">
        <v>681</v>
      </c>
      <c r="D39" t="s">
        <v>653</v>
      </c>
      <c r="E39" t="s">
        <v>654</v>
      </c>
      <c r="F39" t="s">
        <v>127</v>
      </c>
      <c r="G39" s="19">
        <v>37</v>
      </c>
      <c r="H39" s="19">
        <v>97</v>
      </c>
      <c r="I39" t="s">
        <v>682</v>
      </c>
      <c r="J39" t="s">
        <v>683</v>
      </c>
      <c r="K39" t="s">
        <v>684</v>
      </c>
      <c r="L39" t="s">
        <v>685</v>
      </c>
      <c r="M39" t="s">
        <v>686</v>
      </c>
      <c r="N39" t="s">
        <v>687</v>
      </c>
      <c r="O39" t="s">
        <v>688</v>
      </c>
      <c r="P39" t="s">
        <v>689</v>
      </c>
      <c r="Q39" t="s">
        <v>226</v>
      </c>
      <c r="R39" t="s">
        <v>226</v>
      </c>
      <c r="S39">
        <v>8</v>
      </c>
      <c r="T39">
        <v>9</v>
      </c>
      <c r="U39">
        <v>7</v>
      </c>
      <c r="V39" t="s">
        <v>245</v>
      </c>
      <c r="W39" s="17">
        <v>82</v>
      </c>
      <c r="X39" s="17" t="s">
        <v>260</v>
      </c>
      <c r="Y39" s="17">
        <v>7</v>
      </c>
      <c r="Z39" s="17" t="s">
        <v>229</v>
      </c>
      <c r="AA39" s="17">
        <v>6</v>
      </c>
      <c r="AB39" s="17" t="s">
        <v>690</v>
      </c>
      <c r="AC39" s="17" t="s">
        <v>277</v>
      </c>
      <c r="AD39" s="17" t="s">
        <v>691</v>
      </c>
    </row>
    <row r="40" ht="15" customHeight="1">
      <c r="A40" t="s">
        <v>692</v>
      </c>
      <c r="B40" t="s">
        <v>693</v>
      </c>
      <c r="C40" t="s">
        <v>694</v>
      </c>
      <c r="D40" t="s">
        <v>695</v>
      </c>
      <c r="E40" t="s">
        <v>654</v>
      </c>
      <c r="F40" t="s">
        <v>129</v>
      </c>
      <c r="G40" s="19">
        <v>125</v>
      </c>
      <c r="H40" s="19">
        <v>326</v>
      </c>
      <c r="I40" t="s">
        <v>696</v>
      </c>
      <c r="J40" t="s">
        <v>697</v>
      </c>
      <c r="K40" t="s">
        <v>698</v>
      </c>
      <c r="L40" t="s">
        <v>699</v>
      </c>
      <c r="M40" t="s">
        <v>700</v>
      </c>
      <c r="N40" t="s">
        <v>701</v>
      </c>
      <c r="O40" t="s">
        <v>702</v>
      </c>
      <c r="P40" t="s">
        <v>703</v>
      </c>
      <c r="Q40" t="s">
        <v>226</v>
      </c>
      <c r="R40" t="s">
        <v>226</v>
      </c>
      <c r="S40">
        <v>9</v>
      </c>
      <c r="T40">
        <v>8</v>
      </c>
      <c r="U40">
        <v>8</v>
      </c>
      <c r="V40" t="s">
        <v>245</v>
      </c>
      <c r="W40" s="17">
        <v>84</v>
      </c>
      <c r="X40" s="17" t="s">
        <v>260</v>
      </c>
      <c r="Y40" s="17">
        <v>7</v>
      </c>
      <c r="Z40" s="17" t="s">
        <v>261</v>
      </c>
      <c r="AA40" s="17">
        <v>7</v>
      </c>
      <c r="AB40" s="17" t="s">
        <v>704</v>
      </c>
      <c r="AC40" s="17" t="s">
        <v>277</v>
      </c>
      <c r="AD40" s="17" t="s">
        <v>705</v>
      </c>
    </row>
    <row r="41" ht="15" customHeight="1">
      <c r="A41" t="s">
        <v>706</v>
      </c>
      <c r="B41" t="s">
        <v>707</v>
      </c>
      <c r="C41" t="s">
        <v>652</v>
      </c>
      <c r="D41" t="s">
        <v>708</v>
      </c>
      <c r="E41" t="s">
        <v>654</v>
      </c>
      <c r="F41" t="s">
        <v>129</v>
      </c>
      <c r="G41" s="19">
        <v>60</v>
      </c>
      <c r="H41" s="19">
        <v>230</v>
      </c>
      <c r="I41" t="s">
        <v>709</v>
      </c>
      <c r="J41" t="s">
        <v>656</v>
      </c>
      <c r="K41" t="s">
        <v>657</v>
      </c>
      <c r="L41" t="s">
        <v>710</v>
      </c>
      <c r="M41" t="s">
        <v>711</v>
      </c>
      <c r="N41" t="s">
        <v>712</v>
      </c>
      <c r="O41" t="s">
        <v>713</v>
      </c>
      <c r="P41" t="s">
        <v>714</v>
      </c>
      <c r="Q41" t="s">
        <v>226</v>
      </c>
      <c r="R41" t="s">
        <v>226</v>
      </c>
      <c r="S41">
        <v>8</v>
      </c>
      <c r="T41">
        <v>9</v>
      </c>
      <c r="U41">
        <v>8</v>
      </c>
      <c r="V41" t="s">
        <v>245</v>
      </c>
      <c r="W41" s="17">
        <v>82</v>
      </c>
      <c r="X41" s="17" t="s">
        <v>260</v>
      </c>
      <c r="Y41" s="17">
        <v>7</v>
      </c>
      <c r="Z41" s="17" t="s">
        <v>261</v>
      </c>
      <c r="AA41" s="17">
        <v>6</v>
      </c>
      <c r="AB41" s="17" t="s">
        <v>715</v>
      </c>
      <c r="AC41" s="17" t="s">
        <v>277</v>
      </c>
      <c r="AD41" s="17" t="s">
        <v>716</v>
      </c>
    </row>
    <row r="42" ht="15" customHeight="1">
      <c r="A42" t="s">
        <v>717</v>
      </c>
      <c r="B42" t="s">
        <v>718</v>
      </c>
      <c r="C42" t="s">
        <v>719</v>
      </c>
      <c r="D42" t="s">
        <v>720</v>
      </c>
      <c r="E42" t="s">
        <v>654</v>
      </c>
      <c r="F42" t="s">
        <v>131</v>
      </c>
      <c r="G42" s="19">
        <v>18</v>
      </c>
      <c r="H42" s="19">
        <v>28</v>
      </c>
      <c r="I42" t="s">
        <v>721</v>
      </c>
      <c r="J42" t="s">
        <v>722</v>
      </c>
      <c r="K42" t="s">
        <v>286</v>
      </c>
      <c r="L42" t="s">
        <v>723</v>
      </c>
      <c r="M42" t="s">
        <v>724</v>
      </c>
      <c r="N42" t="s">
        <v>725</v>
      </c>
      <c r="O42" t="s">
        <v>726</v>
      </c>
      <c r="P42" t="s">
        <v>727</v>
      </c>
      <c r="Q42" t="s">
        <v>226</v>
      </c>
      <c r="R42" t="s">
        <v>226</v>
      </c>
      <c r="S42">
        <v>8</v>
      </c>
      <c r="T42">
        <v>9</v>
      </c>
      <c r="U42">
        <v>7</v>
      </c>
      <c r="V42" t="s">
        <v>728</v>
      </c>
      <c r="W42" s="17">
        <v>79</v>
      </c>
      <c r="X42" s="17" t="s">
        <v>260</v>
      </c>
      <c r="Y42" s="17">
        <v>8</v>
      </c>
      <c r="Z42" s="17" t="s">
        <v>229</v>
      </c>
      <c r="AA42" s="17">
        <v>5</v>
      </c>
      <c r="AB42" s="17" t="s">
        <v>729</v>
      </c>
      <c r="AC42" s="17" t="s">
        <v>277</v>
      </c>
      <c r="AD42" s="17" t="s">
        <v>730</v>
      </c>
    </row>
    <row r="43" ht="15" customHeight="1">
      <c r="A43" t="s">
        <v>731</v>
      </c>
      <c r="B43" t="s">
        <v>732</v>
      </c>
      <c r="C43" t="s">
        <v>733</v>
      </c>
      <c r="D43" t="s">
        <v>734</v>
      </c>
      <c r="E43" t="s">
        <v>654</v>
      </c>
      <c r="F43" t="s">
        <v>131</v>
      </c>
      <c r="G43" s="19">
        <v>12</v>
      </c>
      <c r="H43" s="19">
        <v>180</v>
      </c>
      <c r="I43" t="s">
        <v>735</v>
      </c>
      <c r="J43" t="s">
        <v>736</v>
      </c>
      <c r="K43" t="s">
        <v>220</v>
      </c>
      <c r="L43" t="s">
        <v>737</v>
      </c>
      <c r="M43" t="s">
        <v>738</v>
      </c>
      <c r="N43" t="s">
        <v>739</v>
      </c>
      <c r="O43" t="s">
        <v>740</v>
      </c>
      <c r="P43" t="s">
        <v>741</v>
      </c>
      <c r="Q43" t="s">
        <v>226</v>
      </c>
      <c r="R43" t="s">
        <v>226</v>
      </c>
      <c r="S43">
        <v>8</v>
      </c>
      <c r="T43">
        <v>10</v>
      </c>
      <c r="U43">
        <v>10</v>
      </c>
      <c r="V43" t="s">
        <v>292</v>
      </c>
      <c r="W43" s="17">
        <v>88</v>
      </c>
      <c r="X43" s="17" t="s">
        <v>228</v>
      </c>
      <c r="Y43" s="17">
        <v>9</v>
      </c>
      <c r="Z43" s="17" t="s">
        <v>229</v>
      </c>
      <c r="AA43" s="17">
        <v>9</v>
      </c>
      <c r="AB43" s="17" t="s">
        <v>742</v>
      </c>
      <c r="AC43" s="17" t="s">
        <v>277</v>
      </c>
      <c r="AD43" s="17" t="s">
        <v>743</v>
      </c>
    </row>
    <row r="44" ht="15" customHeight="1">
      <c r="A44" t="s">
        <v>744</v>
      </c>
      <c r="B44" t="s">
        <v>745</v>
      </c>
      <c r="C44" t="s">
        <v>681</v>
      </c>
      <c r="D44" t="s">
        <v>746</v>
      </c>
      <c r="E44" t="s">
        <v>654</v>
      </c>
      <c r="F44" t="s">
        <v>133</v>
      </c>
      <c r="G44" s="19">
        <v>15</v>
      </c>
      <c r="H44" s="19">
        <v>50</v>
      </c>
      <c r="I44" t="s">
        <v>747</v>
      </c>
      <c r="J44" t="s">
        <v>748</v>
      </c>
      <c r="K44" t="s">
        <v>440</v>
      </c>
      <c r="L44" t="s">
        <v>749</v>
      </c>
      <c r="M44" t="s">
        <v>750</v>
      </c>
      <c r="N44" t="s">
        <v>751</v>
      </c>
      <c r="O44" t="s">
        <v>752</v>
      </c>
      <c r="P44" t="s">
        <v>753</v>
      </c>
      <c r="Q44" t="s">
        <v>226</v>
      </c>
      <c r="R44" t="s">
        <v>226</v>
      </c>
      <c r="S44">
        <v>8</v>
      </c>
      <c r="T44">
        <v>10</v>
      </c>
      <c r="U44">
        <v>9</v>
      </c>
      <c r="V44" t="s">
        <v>338</v>
      </c>
      <c r="W44" s="20">
        <v>85</v>
      </c>
      <c r="X44" s="20" t="s">
        <v>260</v>
      </c>
      <c r="Y44" s="20">
        <v>8</v>
      </c>
      <c r="Z44" s="20" t="s">
        <v>229</v>
      </c>
      <c r="AA44" s="20">
        <v>9</v>
      </c>
      <c r="AB44" s="20" t="s">
        <v>754</v>
      </c>
      <c r="AC44" s="20" t="s">
        <v>277</v>
      </c>
      <c r="AD44" s="20" t="s">
        <v>755</v>
      </c>
    </row>
    <row r="45" ht="15" customHeight="1">
      <c r="A45" t="s">
        <v>756</v>
      </c>
      <c r="B45" t="s">
        <v>757</v>
      </c>
      <c r="C45" t="s">
        <v>758</v>
      </c>
      <c r="D45" t="s">
        <v>759</v>
      </c>
      <c r="E45" t="s">
        <v>760</v>
      </c>
      <c r="F45" t="s">
        <v>137</v>
      </c>
      <c r="G45" s="19">
        <v>60</v>
      </c>
      <c r="H45" s="19">
        <v>74</v>
      </c>
      <c r="I45" t="s">
        <v>559</v>
      </c>
      <c r="J45" t="s">
        <v>761</v>
      </c>
      <c r="K45" t="s">
        <v>332</v>
      </c>
      <c r="L45" t="s">
        <v>762</v>
      </c>
      <c r="M45" t="s">
        <v>763</v>
      </c>
      <c r="N45" t="s">
        <v>764</v>
      </c>
      <c r="O45" t="s">
        <v>765</v>
      </c>
      <c r="P45" t="s">
        <v>766</v>
      </c>
      <c r="Q45" t="s">
        <v>226</v>
      </c>
      <c r="R45" t="s">
        <v>226</v>
      </c>
      <c r="S45">
        <v>9</v>
      </c>
      <c r="T45">
        <v>9</v>
      </c>
      <c r="U45">
        <v>9</v>
      </c>
      <c r="V45" t="s">
        <v>469</v>
      </c>
      <c r="W45" s="20">
        <v>88</v>
      </c>
      <c r="X45" s="20" t="s">
        <v>228</v>
      </c>
      <c r="Y45" s="20">
        <v>9</v>
      </c>
      <c r="Z45" s="20" t="s">
        <v>229</v>
      </c>
      <c r="AA45" s="20">
        <v>8</v>
      </c>
      <c r="AB45" s="20" t="s">
        <v>742</v>
      </c>
      <c r="AC45" s="20" t="s">
        <v>277</v>
      </c>
      <c r="AD45" s="20" t="s">
        <v>767</v>
      </c>
    </row>
    <row r="46" ht="15" customHeight="1">
      <c r="A46" t="s">
        <v>768</v>
      </c>
      <c r="B46" t="s">
        <v>769</v>
      </c>
      <c r="C46" t="s">
        <v>770</v>
      </c>
      <c r="D46" t="s">
        <v>771</v>
      </c>
      <c r="E46" t="s">
        <v>760</v>
      </c>
      <c r="F46" t="s">
        <v>137</v>
      </c>
      <c r="G46" s="19">
        <v>80</v>
      </c>
      <c r="H46" s="19">
        <v>88</v>
      </c>
      <c r="I46" t="s">
        <v>772</v>
      </c>
      <c r="J46" t="s">
        <v>773</v>
      </c>
      <c r="K46" t="s">
        <v>440</v>
      </c>
      <c r="L46" t="s">
        <v>774</v>
      </c>
      <c r="M46" t="s">
        <v>775</v>
      </c>
      <c r="N46" t="s">
        <v>776</v>
      </c>
      <c r="O46" t="s">
        <v>777</v>
      </c>
      <c r="P46" t="s">
        <v>778</v>
      </c>
      <c r="Q46" t="s">
        <v>226</v>
      </c>
      <c r="R46" t="s">
        <v>226</v>
      </c>
      <c r="S46">
        <v>9</v>
      </c>
      <c r="T46">
        <v>7</v>
      </c>
      <c r="U46">
        <v>9</v>
      </c>
      <c r="V46" t="s">
        <v>469</v>
      </c>
      <c r="W46" s="20">
        <v>84</v>
      </c>
      <c r="X46" s="20" t="s">
        <v>260</v>
      </c>
      <c r="Y46" s="20">
        <v>8</v>
      </c>
      <c r="Z46" s="20" t="s">
        <v>229</v>
      </c>
      <c r="AA46" s="20">
        <v>9</v>
      </c>
      <c r="AB46" s="20" t="s">
        <v>779</v>
      </c>
      <c r="AC46" s="20" t="s">
        <v>277</v>
      </c>
      <c r="AD46" s="20" t="s">
        <v>780</v>
      </c>
    </row>
    <row r="47" ht="15" customHeight="1">
      <c r="A47" t="s">
        <v>781</v>
      </c>
      <c r="B47" t="s">
        <v>782</v>
      </c>
      <c r="C47" t="s">
        <v>783</v>
      </c>
      <c r="D47" t="s">
        <v>784</v>
      </c>
      <c r="E47" t="s">
        <v>760</v>
      </c>
      <c r="F47" t="s">
        <v>137</v>
      </c>
      <c r="G47" s="19">
        <v>35</v>
      </c>
      <c r="H47" s="19">
        <v>45</v>
      </c>
      <c r="I47" t="s">
        <v>785</v>
      </c>
      <c r="J47" t="s">
        <v>786</v>
      </c>
      <c r="K47" t="s">
        <v>286</v>
      </c>
      <c r="L47" t="s">
        <v>787</v>
      </c>
      <c r="M47" t="s">
        <v>788</v>
      </c>
      <c r="N47" t="s">
        <v>789</v>
      </c>
      <c r="O47" t="s">
        <v>790</v>
      </c>
      <c r="P47" t="s">
        <v>791</v>
      </c>
      <c r="Q47" t="s">
        <v>226</v>
      </c>
      <c r="R47" t="s">
        <v>226</v>
      </c>
      <c r="S47">
        <v>8</v>
      </c>
      <c r="T47">
        <v>10</v>
      </c>
      <c r="U47">
        <v>7</v>
      </c>
      <c r="V47" t="s">
        <v>469</v>
      </c>
      <c r="W47" s="20">
        <v>80</v>
      </c>
      <c r="X47" s="20" t="s">
        <v>69</v>
      </c>
      <c r="Y47" s="20">
        <v>7</v>
      </c>
      <c r="Z47" s="20" t="s">
        <v>229</v>
      </c>
      <c r="AA47" s="20">
        <v>5</v>
      </c>
      <c r="AB47" s="20" t="s">
        <v>690</v>
      </c>
      <c r="AC47" s="20" t="s">
        <v>470</v>
      </c>
      <c r="AD47" s="20" t="s">
        <v>792</v>
      </c>
    </row>
    <row r="48" ht="15" customHeight="1">
      <c r="A48" t="s">
        <v>793</v>
      </c>
      <c r="B48" t="s">
        <v>794</v>
      </c>
      <c r="C48" t="s">
        <v>770</v>
      </c>
      <c r="D48" t="s">
        <v>795</v>
      </c>
      <c r="E48" t="s">
        <v>760</v>
      </c>
      <c r="F48" t="s">
        <v>137</v>
      </c>
      <c r="G48" s="19">
        <v>23</v>
      </c>
      <c r="H48" s="19">
        <v>91</v>
      </c>
      <c r="I48" t="s">
        <v>559</v>
      </c>
      <c r="J48" t="s">
        <v>796</v>
      </c>
      <c r="K48" t="s">
        <v>440</v>
      </c>
      <c r="L48" t="s">
        <v>797</v>
      </c>
      <c r="M48" t="s">
        <v>798</v>
      </c>
      <c r="N48" t="s">
        <v>799</v>
      </c>
      <c r="O48" t="s">
        <v>800</v>
      </c>
      <c r="P48" t="s">
        <v>801</v>
      </c>
      <c r="Q48" t="s">
        <v>226</v>
      </c>
      <c r="R48" t="s">
        <v>226</v>
      </c>
      <c r="S48">
        <v>7</v>
      </c>
      <c r="T48">
        <v>10</v>
      </c>
      <c r="U48">
        <v>8</v>
      </c>
      <c r="V48" t="s">
        <v>469</v>
      </c>
      <c r="W48" s="20">
        <v>79</v>
      </c>
      <c r="X48" s="20" t="s">
        <v>260</v>
      </c>
      <c r="Y48" s="20">
        <v>8</v>
      </c>
      <c r="Z48" s="20" t="s">
        <v>229</v>
      </c>
      <c r="AA48" s="20">
        <v>8</v>
      </c>
      <c r="AB48" s="20" t="s">
        <v>802</v>
      </c>
      <c r="AC48" s="20" t="s">
        <v>277</v>
      </c>
      <c r="AD48" s="20" t="s">
        <v>803</v>
      </c>
    </row>
    <row r="49" ht="15" customHeight="1">
      <c r="A49" t="s">
        <v>804</v>
      </c>
      <c r="B49" t="s">
        <v>805</v>
      </c>
      <c r="C49" t="s">
        <v>806</v>
      </c>
      <c r="D49" t="s">
        <v>807</v>
      </c>
      <c r="E49" t="s">
        <v>760</v>
      </c>
      <c r="F49" t="s">
        <v>139</v>
      </c>
      <c r="G49" s="19">
        <v>30</v>
      </c>
      <c r="H49" s="19">
        <v>194</v>
      </c>
      <c r="I49" t="s">
        <v>808</v>
      </c>
      <c r="J49" t="s">
        <v>809</v>
      </c>
      <c r="K49" t="s">
        <v>810</v>
      </c>
      <c r="L49" t="s">
        <v>811</v>
      </c>
      <c r="M49" t="s">
        <v>812</v>
      </c>
      <c r="N49" t="s">
        <v>813</v>
      </c>
      <c r="O49" t="s">
        <v>814</v>
      </c>
      <c r="P49" t="s">
        <v>815</v>
      </c>
      <c r="Q49" t="s">
        <v>226</v>
      </c>
      <c r="R49" t="s">
        <v>226</v>
      </c>
      <c r="S49">
        <v>9</v>
      </c>
      <c r="T49">
        <v>9</v>
      </c>
      <c r="U49">
        <v>8</v>
      </c>
      <c r="V49" t="s">
        <v>816</v>
      </c>
      <c r="W49" s="20">
        <v>86</v>
      </c>
      <c r="X49" s="20" t="s">
        <v>228</v>
      </c>
      <c r="Y49" s="20">
        <v>9</v>
      </c>
      <c r="Z49" s="20" t="s">
        <v>229</v>
      </c>
      <c r="AA49" s="20">
        <v>7</v>
      </c>
      <c r="AB49" s="20" t="s">
        <v>817</v>
      </c>
      <c r="AC49" s="20" t="s">
        <v>277</v>
      </c>
      <c r="AD49" s="20" t="s">
        <v>818</v>
      </c>
    </row>
    <row r="50" ht="15" customHeight="1">
      <c r="A50" t="s">
        <v>819</v>
      </c>
      <c r="B50" t="s">
        <v>820</v>
      </c>
      <c r="C50" t="s">
        <v>783</v>
      </c>
      <c r="D50" t="s">
        <v>821</v>
      </c>
      <c r="E50" t="s">
        <v>760</v>
      </c>
      <c r="F50" t="s">
        <v>139</v>
      </c>
      <c r="G50" s="19">
        <v>50</v>
      </c>
      <c r="H50" s="19">
        <v>150</v>
      </c>
      <c r="I50" t="s">
        <v>822</v>
      </c>
      <c r="J50" t="s">
        <v>823</v>
      </c>
      <c r="K50" t="s">
        <v>286</v>
      </c>
      <c r="L50" t="s">
        <v>824</v>
      </c>
      <c r="M50" t="s">
        <v>825</v>
      </c>
      <c r="N50" t="s">
        <v>826</v>
      </c>
      <c r="O50" t="s">
        <v>827</v>
      </c>
      <c r="P50" t="s">
        <v>828</v>
      </c>
      <c r="Q50" t="s">
        <v>226</v>
      </c>
      <c r="R50" t="s">
        <v>226</v>
      </c>
      <c r="S50">
        <v>9</v>
      </c>
      <c r="T50">
        <v>7</v>
      </c>
      <c r="U50">
        <v>9</v>
      </c>
      <c r="V50" t="s">
        <v>469</v>
      </c>
      <c r="W50" s="20">
        <v>83</v>
      </c>
      <c r="X50" s="20" t="s">
        <v>260</v>
      </c>
      <c r="Y50" s="20">
        <v>8</v>
      </c>
      <c r="Z50" s="20" t="s">
        <v>229</v>
      </c>
      <c r="AA50" s="20">
        <v>7</v>
      </c>
      <c r="AB50" s="20" t="s">
        <v>309</v>
      </c>
      <c r="AC50" s="20" t="s">
        <v>277</v>
      </c>
      <c r="AD50" s="20" t="s">
        <v>829</v>
      </c>
    </row>
    <row r="51" ht="15" customHeight="1">
      <c r="A51" t="s">
        <v>830</v>
      </c>
      <c r="B51" t="s">
        <v>831</v>
      </c>
      <c r="C51" t="s">
        <v>832</v>
      </c>
      <c r="D51" t="s">
        <v>833</v>
      </c>
      <c r="E51" t="s">
        <v>760</v>
      </c>
      <c r="F51" t="s">
        <v>141</v>
      </c>
      <c r="G51" s="19">
        <v>80</v>
      </c>
      <c r="H51" s="19">
        <v>450</v>
      </c>
      <c r="I51" t="s">
        <v>834</v>
      </c>
      <c r="J51" t="s">
        <v>835</v>
      </c>
      <c r="K51" t="s">
        <v>317</v>
      </c>
      <c r="L51" t="s">
        <v>836</v>
      </c>
      <c r="M51" t="s">
        <v>837</v>
      </c>
      <c r="N51" t="s">
        <v>838</v>
      </c>
      <c r="O51" t="s">
        <v>839</v>
      </c>
      <c r="P51" t="s">
        <v>840</v>
      </c>
      <c r="Q51" t="s">
        <v>226</v>
      </c>
      <c r="R51" t="s">
        <v>226</v>
      </c>
      <c r="S51">
        <v>8</v>
      </c>
      <c r="T51">
        <v>8</v>
      </c>
      <c r="U51">
        <v>8</v>
      </c>
      <c r="V51" t="s">
        <v>245</v>
      </c>
      <c r="W51" s="20">
        <v>80</v>
      </c>
      <c r="X51" s="20" t="s">
        <v>69</v>
      </c>
      <c r="Y51" s="20">
        <v>6</v>
      </c>
      <c r="Z51" s="20" t="s">
        <v>229</v>
      </c>
      <c r="AA51" s="20">
        <v>6</v>
      </c>
      <c r="AB51" s="20" t="s">
        <v>841</v>
      </c>
      <c r="AC51" s="20" t="s">
        <v>842</v>
      </c>
      <c r="AD51" s="20" t="s">
        <v>843</v>
      </c>
    </row>
    <row r="52" ht="15" customHeight="1">
      <c r="A52" t="s">
        <v>844</v>
      </c>
      <c r="B52" t="s">
        <v>845</v>
      </c>
      <c r="C52" t="s">
        <v>832</v>
      </c>
      <c r="D52" t="s">
        <v>846</v>
      </c>
      <c r="E52" t="s">
        <v>760</v>
      </c>
      <c r="F52" t="s">
        <v>141</v>
      </c>
      <c r="G52" s="19">
        <v>150</v>
      </c>
      <c r="H52" s="19">
        <v>2700</v>
      </c>
      <c r="I52" t="s">
        <v>847</v>
      </c>
      <c r="J52" t="s">
        <v>848</v>
      </c>
      <c r="K52" t="s">
        <v>317</v>
      </c>
      <c r="L52" t="s">
        <v>849</v>
      </c>
      <c r="M52" t="s">
        <v>850</v>
      </c>
      <c r="N52" t="s">
        <v>851</v>
      </c>
      <c r="O52" t="s">
        <v>852</v>
      </c>
      <c r="P52" t="s">
        <v>853</v>
      </c>
      <c r="Q52" t="s">
        <v>226</v>
      </c>
      <c r="R52" t="s">
        <v>226</v>
      </c>
      <c r="S52">
        <v>8</v>
      </c>
      <c r="T52">
        <v>7</v>
      </c>
      <c r="U52">
        <v>8</v>
      </c>
      <c r="V52" t="s">
        <v>245</v>
      </c>
      <c r="W52" s="20">
        <v>77</v>
      </c>
      <c r="X52" s="20" t="s">
        <v>69</v>
      </c>
      <c r="Y52" s="20">
        <v>5</v>
      </c>
      <c r="Z52" s="20" t="s">
        <v>261</v>
      </c>
      <c r="AA52" s="20">
        <v>6</v>
      </c>
      <c r="AB52" s="20" t="s">
        <v>854</v>
      </c>
      <c r="AC52" s="20" t="s">
        <v>855</v>
      </c>
      <c r="AD52" s="20" t="s">
        <v>856</v>
      </c>
    </row>
    <row r="53" ht="15" customHeight="1">
      <c r="A53" t="s">
        <v>857</v>
      </c>
      <c r="B53" t="s">
        <v>858</v>
      </c>
      <c r="C53" t="s">
        <v>859</v>
      </c>
      <c r="D53" t="s">
        <v>860</v>
      </c>
      <c r="E53" t="s">
        <v>861</v>
      </c>
      <c r="F53" t="s">
        <v>145</v>
      </c>
      <c r="G53" s="21">
        <v>175</v>
      </c>
      <c r="H53" s="19">
        <v>394</v>
      </c>
      <c r="I53" t="s">
        <v>862</v>
      </c>
      <c r="J53" t="s">
        <v>863</v>
      </c>
      <c r="K53" t="s">
        <v>864</v>
      </c>
      <c r="L53" t="s">
        <v>865</v>
      </c>
      <c r="M53" t="s">
        <v>866</v>
      </c>
      <c r="N53" t="s">
        <v>867</v>
      </c>
      <c r="O53" t="s">
        <v>868</v>
      </c>
      <c r="P53" t="s">
        <v>869</v>
      </c>
      <c r="Q53" t="s">
        <v>226</v>
      </c>
      <c r="R53" t="s">
        <v>226</v>
      </c>
      <c r="S53" s="19">
        <v>9</v>
      </c>
      <c r="T53" s="19">
        <v>9</v>
      </c>
      <c r="U53" s="19">
        <v>9</v>
      </c>
      <c r="V53" t="s">
        <v>245</v>
      </c>
      <c r="W53" s="20">
        <v>88</v>
      </c>
      <c r="X53" s="20" t="s">
        <v>228</v>
      </c>
      <c r="Y53" s="20">
        <v>9</v>
      </c>
      <c r="Z53" s="20" t="s">
        <v>229</v>
      </c>
      <c r="AA53" s="20">
        <v>9</v>
      </c>
      <c r="AB53" s="20" t="s">
        <v>870</v>
      </c>
      <c r="AC53" s="20" t="s">
        <v>871</v>
      </c>
      <c r="AD53" s="20" t="s">
        <v>872</v>
      </c>
    </row>
    <row r="54" ht="15" customHeight="1">
      <c r="A54" t="s">
        <v>873</v>
      </c>
      <c r="B54" t="s">
        <v>874</v>
      </c>
      <c r="C54" t="s">
        <v>357</v>
      </c>
      <c r="D54" t="s">
        <v>875</v>
      </c>
      <c r="E54" t="s">
        <v>861</v>
      </c>
      <c r="F54" t="s">
        <v>145</v>
      </c>
      <c r="G54" s="21">
        <v>90</v>
      </c>
      <c r="H54" s="19">
        <v>340</v>
      </c>
      <c r="I54" t="s">
        <v>862</v>
      </c>
      <c r="J54" t="s">
        <v>876</v>
      </c>
      <c r="K54" t="s">
        <v>361</v>
      </c>
      <c r="L54" t="s">
        <v>877</v>
      </c>
      <c r="M54" t="s">
        <v>878</v>
      </c>
      <c r="N54" t="s">
        <v>879</v>
      </c>
      <c r="O54" t="s">
        <v>880</v>
      </c>
      <c r="P54" t="s">
        <v>881</v>
      </c>
      <c r="Q54" t="s">
        <v>367</v>
      </c>
      <c r="R54" t="s">
        <v>226</v>
      </c>
      <c r="S54" s="19">
        <v>7</v>
      </c>
      <c r="T54" s="19">
        <v>10</v>
      </c>
      <c r="U54" s="19">
        <v>7</v>
      </c>
      <c r="V54" t="s">
        <v>245</v>
      </c>
      <c r="W54" s="20">
        <v>76</v>
      </c>
      <c r="X54" s="20" t="s">
        <v>260</v>
      </c>
      <c r="Y54" s="20">
        <v>8</v>
      </c>
      <c r="Z54" s="20" t="s">
        <v>229</v>
      </c>
      <c r="AA54" s="20">
        <v>6</v>
      </c>
      <c r="AB54" s="20" t="s">
        <v>368</v>
      </c>
      <c r="AC54" s="20" t="s">
        <v>882</v>
      </c>
      <c r="AD54" s="20" t="s">
        <v>883</v>
      </c>
    </row>
    <row r="55" ht="15" customHeight="1">
      <c r="A55" t="s">
        <v>884</v>
      </c>
      <c r="B55" t="s">
        <v>885</v>
      </c>
      <c r="C55" t="s">
        <v>886</v>
      </c>
      <c r="D55" t="s">
        <v>887</v>
      </c>
      <c r="E55" t="s">
        <v>861</v>
      </c>
      <c r="F55" t="s">
        <v>145</v>
      </c>
      <c r="G55" s="21">
        <v>460</v>
      </c>
      <c r="H55" s="19">
        <v>300</v>
      </c>
      <c r="I55" t="s">
        <v>862</v>
      </c>
      <c r="J55" t="s">
        <v>888</v>
      </c>
      <c r="K55" t="s">
        <v>220</v>
      </c>
      <c r="L55" t="s">
        <v>889</v>
      </c>
      <c r="M55" t="s">
        <v>890</v>
      </c>
      <c r="N55" t="s">
        <v>891</v>
      </c>
      <c r="O55" t="s">
        <v>892</v>
      </c>
      <c r="P55" t="s">
        <v>893</v>
      </c>
      <c r="Q55" t="s">
        <v>226</v>
      </c>
      <c r="R55" t="s">
        <v>226</v>
      </c>
      <c r="S55" s="19">
        <v>10</v>
      </c>
      <c r="T55" s="19">
        <v>5</v>
      </c>
      <c r="U55" s="19">
        <v>10</v>
      </c>
      <c r="V55" t="s">
        <v>245</v>
      </c>
      <c r="W55" s="20">
        <v>82</v>
      </c>
      <c r="X55" s="20" t="s">
        <v>71</v>
      </c>
      <c r="Y55" s="20">
        <v>7</v>
      </c>
      <c r="Z55" s="20" t="s">
        <v>229</v>
      </c>
      <c r="AA55" s="20">
        <v>9</v>
      </c>
      <c r="AB55" s="20" t="s">
        <v>894</v>
      </c>
      <c r="AC55" s="20" t="s">
        <v>277</v>
      </c>
      <c r="AD55" s="20" t="s">
        <v>895</v>
      </c>
    </row>
    <row r="56" ht="15" customHeight="1">
      <c r="A56" t="s">
        <v>896</v>
      </c>
      <c r="B56" t="s">
        <v>897</v>
      </c>
      <c r="C56" t="s">
        <v>859</v>
      </c>
      <c r="D56" t="s">
        <v>898</v>
      </c>
      <c r="E56" t="s">
        <v>861</v>
      </c>
      <c r="F56" t="s">
        <v>147</v>
      </c>
      <c r="G56" s="21">
        <v>220</v>
      </c>
      <c r="H56" s="19">
        <v>337</v>
      </c>
      <c r="I56" t="s">
        <v>862</v>
      </c>
      <c r="J56" t="s">
        <v>899</v>
      </c>
      <c r="K56" t="s">
        <v>864</v>
      </c>
      <c r="L56" t="s">
        <v>900</v>
      </c>
      <c r="M56" t="s">
        <v>901</v>
      </c>
      <c r="N56" t="s">
        <v>902</v>
      </c>
      <c r="O56" t="s">
        <v>903</v>
      </c>
      <c r="P56" t="s">
        <v>904</v>
      </c>
      <c r="Q56" t="s">
        <v>226</v>
      </c>
      <c r="R56" t="s">
        <v>226</v>
      </c>
      <c r="S56" s="19">
        <v>9</v>
      </c>
      <c r="T56" s="19">
        <v>8</v>
      </c>
      <c r="U56" s="19">
        <v>9</v>
      </c>
      <c r="V56" t="s">
        <v>816</v>
      </c>
      <c r="W56" s="20">
        <v>86</v>
      </c>
      <c r="X56" s="20" t="s">
        <v>228</v>
      </c>
      <c r="Y56" s="20">
        <v>9</v>
      </c>
      <c r="Z56" s="20" t="s">
        <v>229</v>
      </c>
      <c r="AA56" s="20">
        <v>9</v>
      </c>
      <c r="AB56" s="20" t="s">
        <v>870</v>
      </c>
      <c r="AC56" s="20" t="s">
        <v>455</v>
      </c>
      <c r="AD56" s="20" t="s">
        <v>905</v>
      </c>
    </row>
    <row r="57" ht="15" customHeight="1">
      <c r="A57" t="s">
        <v>906</v>
      </c>
      <c r="B57" t="s">
        <v>907</v>
      </c>
      <c r="C57" t="s">
        <v>886</v>
      </c>
      <c r="D57" t="s">
        <v>908</v>
      </c>
      <c r="E57" t="s">
        <v>861</v>
      </c>
      <c r="F57" t="s">
        <v>147</v>
      </c>
      <c r="G57" s="21">
        <v>380</v>
      </c>
      <c r="H57" s="19">
        <v>280</v>
      </c>
      <c r="I57" t="s">
        <v>862</v>
      </c>
      <c r="J57" t="s">
        <v>428</v>
      </c>
      <c r="K57" t="s">
        <v>220</v>
      </c>
      <c r="L57" t="s">
        <v>909</v>
      </c>
      <c r="M57" t="s">
        <v>910</v>
      </c>
      <c r="N57" t="s">
        <v>911</v>
      </c>
      <c r="O57" t="s">
        <v>912</v>
      </c>
      <c r="P57" t="s">
        <v>913</v>
      </c>
      <c r="Q57" t="s">
        <v>226</v>
      </c>
      <c r="R57" t="s">
        <v>226</v>
      </c>
      <c r="S57" s="19">
        <v>10</v>
      </c>
      <c r="T57" s="19">
        <v>5</v>
      </c>
      <c r="U57" s="19">
        <v>8</v>
      </c>
      <c r="V57" t="s">
        <v>245</v>
      </c>
      <c r="W57" s="20">
        <v>79</v>
      </c>
      <c r="X57" s="20" t="s">
        <v>71</v>
      </c>
      <c r="Y57" s="20">
        <v>6</v>
      </c>
      <c r="Z57" s="20" t="s">
        <v>229</v>
      </c>
      <c r="AA57" s="20">
        <v>8</v>
      </c>
      <c r="AB57" s="20" t="s">
        <v>382</v>
      </c>
      <c r="AC57" s="20" t="s">
        <v>324</v>
      </c>
      <c r="AD57" s="20" t="s">
        <v>914</v>
      </c>
    </row>
    <row r="58" ht="15" customHeight="1">
      <c r="A58" t="s">
        <v>915</v>
      </c>
      <c r="B58" t="s">
        <v>916</v>
      </c>
      <c r="C58" t="s">
        <v>859</v>
      </c>
      <c r="D58" t="s">
        <v>917</v>
      </c>
      <c r="E58" t="s">
        <v>861</v>
      </c>
      <c r="F58" t="s">
        <v>149</v>
      </c>
      <c r="G58" s="21">
        <v>55</v>
      </c>
      <c r="H58" s="19">
        <v>125</v>
      </c>
      <c r="I58" t="s">
        <v>862</v>
      </c>
      <c r="J58" t="s">
        <v>918</v>
      </c>
      <c r="K58" t="s">
        <v>864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226</v>
      </c>
      <c r="R58" t="s">
        <v>226</v>
      </c>
      <c r="S58" s="19">
        <v>8</v>
      </c>
      <c r="T58" s="19">
        <v>9</v>
      </c>
      <c r="U58" s="19">
        <v>8</v>
      </c>
      <c r="V58" t="s">
        <v>292</v>
      </c>
      <c r="W58" s="20">
        <v>82</v>
      </c>
      <c r="X58" s="20" t="s">
        <v>260</v>
      </c>
      <c r="Y58" s="20">
        <v>9</v>
      </c>
      <c r="Z58" s="20" t="s">
        <v>229</v>
      </c>
      <c r="AA58" s="20">
        <v>8</v>
      </c>
      <c r="AB58" s="20" t="s">
        <v>924</v>
      </c>
      <c r="AC58" s="20" t="s">
        <v>925</v>
      </c>
      <c r="AD58" s="20" t="s">
        <v>926</v>
      </c>
    </row>
    <row r="59" ht="15" customHeight="1">
      <c r="A59" t="s">
        <v>927</v>
      </c>
      <c r="B59" t="s">
        <v>928</v>
      </c>
      <c r="C59" t="s">
        <v>929</v>
      </c>
      <c r="D59" t="s">
        <v>930</v>
      </c>
      <c r="E59" t="s">
        <v>861</v>
      </c>
      <c r="F59" t="s">
        <v>149</v>
      </c>
      <c r="G59" s="21">
        <v>75</v>
      </c>
      <c r="H59" s="19">
        <v>155</v>
      </c>
      <c r="I59" t="s">
        <v>862</v>
      </c>
      <c r="J59" t="s">
        <v>931</v>
      </c>
      <c r="K59" t="s">
        <v>286</v>
      </c>
      <c r="L59" t="s">
        <v>932</v>
      </c>
      <c r="M59" t="s">
        <v>933</v>
      </c>
      <c r="N59" t="s">
        <v>934</v>
      </c>
      <c r="O59" t="s">
        <v>935</v>
      </c>
      <c r="P59" t="s">
        <v>936</v>
      </c>
      <c r="Q59" t="s">
        <v>226</v>
      </c>
      <c r="R59" t="s">
        <v>226</v>
      </c>
      <c r="S59" s="19">
        <v>9</v>
      </c>
      <c r="T59" s="19">
        <v>7</v>
      </c>
      <c r="U59" s="19">
        <v>8</v>
      </c>
      <c r="V59" t="s">
        <v>245</v>
      </c>
      <c r="W59" s="20">
        <v>81</v>
      </c>
      <c r="X59" s="20" t="s">
        <v>260</v>
      </c>
      <c r="Y59" s="20">
        <v>8</v>
      </c>
      <c r="Z59" s="20" t="s">
        <v>229</v>
      </c>
      <c r="AA59" s="20">
        <v>7</v>
      </c>
      <c r="AB59" s="20" t="s">
        <v>937</v>
      </c>
      <c r="AC59" s="20" t="s">
        <v>455</v>
      </c>
      <c r="AD59" s="20" t="s">
        <v>938</v>
      </c>
    </row>
    <row r="60" ht="15" customHeight="1">
      <c r="A60" t="s">
        <v>939</v>
      </c>
      <c r="B60" t="s">
        <v>940</v>
      </c>
      <c r="C60" t="s">
        <v>859</v>
      </c>
      <c r="D60" t="s">
        <v>941</v>
      </c>
      <c r="E60" t="s">
        <v>861</v>
      </c>
      <c r="F60" t="s">
        <v>151</v>
      </c>
      <c r="G60" s="21">
        <v>99</v>
      </c>
      <c r="H60" s="19">
        <v>390</v>
      </c>
      <c r="I60" t="s">
        <v>942</v>
      </c>
      <c r="J60" t="s">
        <v>943</v>
      </c>
      <c r="K60" t="s">
        <v>864</v>
      </c>
      <c r="L60" t="s">
        <v>944</v>
      </c>
      <c r="M60" t="s">
        <v>945</v>
      </c>
      <c r="N60" t="s">
        <v>826</v>
      </c>
      <c r="O60" t="s">
        <v>946</v>
      </c>
      <c r="P60" t="s">
        <v>947</v>
      </c>
      <c r="Q60" t="s">
        <v>226</v>
      </c>
      <c r="R60" t="s">
        <v>226</v>
      </c>
      <c r="S60" s="19">
        <v>9</v>
      </c>
      <c r="T60" s="19">
        <v>8</v>
      </c>
      <c r="U60" s="19">
        <v>9</v>
      </c>
      <c r="V60" t="s">
        <v>245</v>
      </c>
      <c r="W60" s="20">
        <v>86</v>
      </c>
      <c r="X60" s="20" t="s">
        <v>260</v>
      </c>
      <c r="Y60" s="20">
        <v>8</v>
      </c>
      <c r="Z60" s="20" t="s">
        <v>229</v>
      </c>
      <c r="AA60" s="20">
        <v>8</v>
      </c>
      <c r="AB60" s="20" t="s">
        <v>663</v>
      </c>
      <c r="AC60" s="20" t="s">
        <v>231</v>
      </c>
      <c r="AD60" s="20" t="s">
        <v>948</v>
      </c>
    </row>
    <row r="61" ht="15" customHeight="1">
      <c r="A61" t="s">
        <v>949</v>
      </c>
      <c r="B61" t="s">
        <v>950</v>
      </c>
      <c r="C61" t="s">
        <v>951</v>
      </c>
      <c r="D61" t="s">
        <v>952</v>
      </c>
      <c r="E61" t="s">
        <v>53</v>
      </c>
      <c r="F61" t="s">
        <v>155</v>
      </c>
      <c r="G61" s="21">
        <v>220</v>
      </c>
      <c r="H61" s="19">
        <v>1360</v>
      </c>
      <c r="I61" t="s">
        <v>953</v>
      </c>
      <c r="J61" t="s">
        <v>954</v>
      </c>
      <c r="K61" t="s">
        <v>286</v>
      </c>
      <c r="L61" t="s">
        <v>955</v>
      </c>
      <c r="M61" t="s">
        <v>956</v>
      </c>
      <c r="N61" t="s">
        <v>957</v>
      </c>
      <c r="O61" t="s">
        <v>958</v>
      </c>
      <c r="P61" t="s">
        <v>959</v>
      </c>
      <c r="Q61" t="s">
        <v>226</v>
      </c>
      <c r="R61" t="s">
        <v>226</v>
      </c>
      <c r="S61" s="19">
        <v>10</v>
      </c>
      <c r="T61" s="19">
        <v>7</v>
      </c>
      <c r="U61" s="19">
        <v>8</v>
      </c>
      <c r="V61" t="s">
        <v>245</v>
      </c>
      <c r="W61" s="20">
        <v>84</v>
      </c>
      <c r="X61" s="20" t="s">
        <v>260</v>
      </c>
      <c r="Y61" s="20">
        <v>7</v>
      </c>
      <c r="Z61" s="20" t="s">
        <v>261</v>
      </c>
      <c r="AA61" s="20">
        <v>7</v>
      </c>
      <c r="AB61" s="20" t="s">
        <v>715</v>
      </c>
      <c r="AC61" s="20" t="s">
        <v>340</v>
      </c>
      <c r="AD61" s="20" t="s">
        <v>960</v>
      </c>
    </row>
    <row r="62" ht="15" customHeight="1">
      <c r="A62" t="s">
        <v>961</v>
      </c>
      <c r="B62" t="s">
        <v>962</v>
      </c>
      <c r="C62" t="s">
        <v>719</v>
      </c>
      <c r="D62" t="s">
        <v>952</v>
      </c>
      <c r="E62" t="s">
        <v>53</v>
      </c>
      <c r="F62" t="s">
        <v>155</v>
      </c>
      <c r="G62" s="21">
        <v>175</v>
      </c>
      <c r="H62" s="19">
        <v>870</v>
      </c>
      <c r="I62" t="s">
        <v>953</v>
      </c>
      <c r="J62" t="s">
        <v>963</v>
      </c>
      <c r="K62" t="s">
        <v>286</v>
      </c>
      <c r="L62" t="s">
        <v>964</v>
      </c>
      <c r="M62" t="s">
        <v>965</v>
      </c>
      <c r="N62" t="s">
        <v>966</v>
      </c>
      <c r="O62" t="s">
        <v>967</v>
      </c>
      <c r="P62" t="s">
        <v>968</v>
      </c>
      <c r="Q62" t="s">
        <v>226</v>
      </c>
      <c r="R62" t="s">
        <v>226</v>
      </c>
      <c r="S62" s="19">
        <v>9</v>
      </c>
      <c r="T62" s="19">
        <v>8</v>
      </c>
      <c r="U62" s="19">
        <v>8</v>
      </c>
      <c r="V62" t="s">
        <v>292</v>
      </c>
      <c r="W62" s="20">
        <v>85</v>
      </c>
      <c r="X62" s="20" t="s">
        <v>228</v>
      </c>
      <c r="Y62" s="20">
        <v>8</v>
      </c>
      <c r="Z62" s="20" t="s">
        <v>261</v>
      </c>
      <c r="AA62" s="20">
        <v>7</v>
      </c>
      <c r="AB62" s="20" t="s">
        <v>969</v>
      </c>
      <c r="AC62" s="20" t="s">
        <v>263</v>
      </c>
      <c r="AD62" s="20" t="s">
        <v>970</v>
      </c>
    </row>
    <row r="63" ht="15" customHeight="1">
      <c r="A63" t="s">
        <v>971</v>
      </c>
      <c r="B63" t="s">
        <v>972</v>
      </c>
      <c r="C63" t="s">
        <v>973</v>
      </c>
      <c r="D63" t="s">
        <v>974</v>
      </c>
      <c r="E63" t="s">
        <v>53</v>
      </c>
      <c r="F63" t="s">
        <v>155</v>
      </c>
      <c r="G63" s="21">
        <v>155</v>
      </c>
      <c r="H63" s="19">
        <v>1275</v>
      </c>
      <c r="I63" t="s">
        <v>953</v>
      </c>
      <c r="J63" t="s">
        <v>975</v>
      </c>
      <c r="K63" t="s">
        <v>286</v>
      </c>
      <c r="L63" t="s">
        <v>976</v>
      </c>
      <c r="M63" t="s">
        <v>977</v>
      </c>
      <c r="N63" t="s">
        <v>978</v>
      </c>
      <c r="O63" t="s">
        <v>979</v>
      </c>
      <c r="P63" t="s">
        <v>980</v>
      </c>
      <c r="Q63" t="s">
        <v>226</v>
      </c>
      <c r="R63" t="s">
        <v>226</v>
      </c>
      <c r="S63" s="19">
        <v>8</v>
      </c>
      <c r="T63" s="19">
        <v>9</v>
      </c>
      <c r="U63" s="19">
        <v>8</v>
      </c>
      <c r="V63" t="s">
        <v>245</v>
      </c>
      <c r="W63" s="20">
        <v>82</v>
      </c>
      <c r="X63" s="20" t="s">
        <v>260</v>
      </c>
      <c r="Y63" s="20">
        <v>8</v>
      </c>
      <c r="Z63" s="20" t="s">
        <v>261</v>
      </c>
      <c r="AA63" s="20">
        <v>6</v>
      </c>
      <c r="AB63" s="20" t="s">
        <v>368</v>
      </c>
      <c r="AC63" s="20" t="s">
        <v>981</v>
      </c>
      <c r="AD63" s="20" t="s">
        <v>982</v>
      </c>
    </row>
    <row r="64" ht="15" customHeight="1">
      <c r="A64" t="s">
        <v>983</v>
      </c>
      <c r="B64" t="s">
        <v>984</v>
      </c>
      <c r="C64" t="s">
        <v>719</v>
      </c>
      <c r="D64" t="s">
        <v>985</v>
      </c>
      <c r="E64" t="s">
        <v>53</v>
      </c>
      <c r="F64" t="s">
        <v>157</v>
      </c>
      <c r="G64" s="21">
        <v>140</v>
      </c>
      <c r="H64" s="19">
        <v>310</v>
      </c>
      <c r="I64" t="s">
        <v>953</v>
      </c>
      <c r="J64" t="s">
        <v>986</v>
      </c>
      <c r="K64" t="s">
        <v>286</v>
      </c>
      <c r="L64" t="s">
        <v>987</v>
      </c>
      <c r="M64" t="s">
        <v>988</v>
      </c>
      <c r="N64" t="s">
        <v>989</v>
      </c>
      <c r="O64" t="s">
        <v>990</v>
      </c>
      <c r="P64" t="s">
        <v>991</v>
      </c>
      <c r="Q64" t="s">
        <v>226</v>
      </c>
      <c r="R64" t="s">
        <v>226</v>
      </c>
      <c r="S64" s="19">
        <v>9</v>
      </c>
      <c r="T64" s="19">
        <v>8</v>
      </c>
      <c r="U64" s="19">
        <v>7</v>
      </c>
      <c r="V64" t="s">
        <v>992</v>
      </c>
      <c r="W64" s="17">
        <v>82</v>
      </c>
      <c r="X64" s="17" t="s">
        <v>260</v>
      </c>
      <c r="Y64" s="17">
        <v>6</v>
      </c>
      <c r="Z64" s="17" t="s">
        <v>261</v>
      </c>
      <c r="AA64" s="17">
        <v>6</v>
      </c>
      <c r="AB64" s="17" t="s">
        <v>993</v>
      </c>
      <c r="AC64" s="17" t="s">
        <v>994</v>
      </c>
      <c r="AD64" s="17" t="s">
        <v>995</v>
      </c>
    </row>
    <row r="65" ht="15" customHeight="1">
      <c r="A65" t="s">
        <v>996</v>
      </c>
      <c r="B65" t="s">
        <v>997</v>
      </c>
      <c r="C65" t="s">
        <v>998</v>
      </c>
      <c r="D65" t="s">
        <v>999</v>
      </c>
      <c r="E65" t="s">
        <v>53</v>
      </c>
      <c r="F65" t="s">
        <v>157</v>
      </c>
      <c r="G65" s="21">
        <v>200</v>
      </c>
      <c r="H65" s="19">
        <v>700</v>
      </c>
      <c r="I65" t="s">
        <v>953</v>
      </c>
      <c r="J65" t="s">
        <v>1000</v>
      </c>
      <c r="K65" t="s">
        <v>286</v>
      </c>
      <c r="L65" t="s">
        <v>1001</v>
      </c>
      <c r="M65" t="s">
        <v>1002</v>
      </c>
      <c r="N65" t="s">
        <v>1003</v>
      </c>
      <c r="O65" t="s">
        <v>1004</v>
      </c>
      <c r="P65" t="s">
        <v>1005</v>
      </c>
      <c r="Q65" t="s">
        <v>226</v>
      </c>
      <c r="R65" t="s">
        <v>226</v>
      </c>
      <c r="S65" s="19">
        <v>9</v>
      </c>
      <c r="T65" s="19">
        <v>7</v>
      </c>
      <c r="U65" s="19">
        <v>8</v>
      </c>
      <c r="V65" t="s">
        <v>245</v>
      </c>
      <c r="W65" s="17">
        <v>83</v>
      </c>
      <c r="X65" s="17" t="s">
        <v>260</v>
      </c>
      <c r="Y65" s="17">
        <v>7</v>
      </c>
      <c r="Z65" s="17" t="s">
        <v>261</v>
      </c>
      <c r="AA65" s="17">
        <v>7</v>
      </c>
      <c r="AB65" s="17" t="s">
        <v>1006</v>
      </c>
      <c r="AC65" s="17" t="s">
        <v>1007</v>
      </c>
      <c r="AD65" s="17" t="s">
        <v>1008</v>
      </c>
    </row>
    <row r="66" ht="15" customHeight="1">
      <c r="A66" t="s">
        <v>1009</v>
      </c>
      <c r="B66" t="s">
        <v>1010</v>
      </c>
      <c r="C66" t="s">
        <v>1011</v>
      </c>
      <c r="D66" t="s">
        <v>1012</v>
      </c>
      <c r="E66" t="s">
        <v>53</v>
      </c>
      <c r="F66" t="s">
        <v>159</v>
      </c>
      <c r="G66" s="21">
        <v>60</v>
      </c>
      <c r="H66" s="19">
        <v>180</v>
      </c>
      <c r="I66" t="s">
        <v>953</v>
      </c>
      <c r="J66" t="s">
        <v>1013</v>
      </c>
      <c r="K66" t="s">
        <v>1014</v>
      </c>
      <c r="L66" t="s">
        <v>1015</v>
      </c>
      <c r="M66" t="s">
        <v>1016</v>
      </c>
      <c r="N66" t="s">
        <v>1017</v>
      </c>
      <c r="O66" t="s">
        <v>1018</v>
      </c>
      <c r="P66" t="s">
        <v>1019</v>
      </c>
      <c r="Q66" t="s">
        <v>226</v>
      </c>
      <c r="R66" t="s">
        <v>226</v>
      </c>
      <c r="S66" s="19">
        <v>8</v>
      </c>
      <c r="T66" s="19">
        <v>9</v>
      </c>
      <c r="U66" s="19">
        <v>8</v>
      </c>
      <c r="V66" t="s">
        <v>469</v>
      </c>
      <c r="W66" s="17">
        <v>81</v>
      </c>
      <c r="X66" s="17" t="s">
        <v>69</v>
      </c>
      <c r="Y66" s="17">
        <v>8</v>
      </c>
      <c r="Z66" s="17" t="s">
        <v>229</v>
      </c>
      <c r="AA66" s="17">
        <v>7</v>
      </c>
      <c r="AB66" s="17" t="s">
        <v>1020</v>
      </c>
      <c r="AC66" s="17" t="s">
        <v>925</v>
      </c>
      <c r="AD66" s="17" t="s">
        <v>1021</v>
      </c>
    </row>
    <row r="67" ht="15" customHeight="1">
      <c r="A67" t="s">
        <v>1022</v>
      </c>
      <c r="B67" t="s">
        <v>1023</v>
      </c>
      <c r="C67" t="s">
        <v>328</v>
      </c>
      <c r="D67" t="s">
        <v>1024</v>
      </c>
      <c r="E67" t="s">
        <v>1025</v>
      </c>
      <c r="F67" t="s">
        <v>163</v>
      </c>
      <c r="G67" s="18">
        <v>175</v>
      </c>
      <c r="H67" s="19">
        <v>445</v>
      </c>
      <c r="I67" t="s">
        <v>1026</v>
      </c>
      <c r="J67" t="s">
        <v>1027</v>
      </c>
      <c r="K67" t="s">
        <v>332</v>
      </c>
      <c r="L67" t="s">
        <v>1028</v>
      </c>
      <c r="M67" t="s">
        <v>1029</v>
      </c>
      <c r="N67" t="s">
        <v>257</v>
      </c>
      <c r="O67" t="s">
        <v>1030</v>
      </c>
      <c r="P67" t="s">
        <v>1031</v>
      </c>
      <c r="Q67" t="s">
        <v>226</v>
      </c>
      <c r="R67" t="s">
        <v>226</v>
      </c>
      <c r="S67" s="19">
        <v>9</v>
      </c>
      <c r="T67" s="19">
        <v>7</v>
      </c>
      <c r="U67" s="19">
        <v>9</v>
      </c>
      <c r="V67" t="s">
        <v>245</v>
      </c>
      <c r="W67" s="17">
        <v>85</v>
      </c>
      <c r="X67" s="17" t="s">
        <v>260</v>
      </c>
      <c r="Y67" s="17">
        <v>7</v>
      </c>
      <c r="Z67" s="17" t="s">
        <v>229</v>
      </c>
      <c r="AA67" s="17">
        <v>8</v>
      </c>
      <c r="AB67" s="17" t="s">
        <v>382</v>
      </c>
      <c r="AC67" s="17" t="s">
        <v>277</v>
      </c>
      <c r="AD67" s="17" t="s">
        <v>1032</v>
      </c>
    </row>
    <row r="68" ht="15" customHeight="1">
      <c r="A68" t="s">
        <v>1033</v>
      </c>
      <c r="B68" t="s">
        <v>1034</v>
      </c>
      <c r="C68" t="s">
        <v>758</v>
      </c>
      <c r="D68" t="s">
        <v>1035</v>
      </c>
      <c r="E68" t="s">
        <v>1025</v>
      </c>
      <c r="F68" t="s">
        <v>163</v>
      </c>
      <c r="G68" s="18">
        <v>90</v>
      </c>
      <c r="H68" s="19">
        <v>520</v>
      </c>
      <c r="I68" t="s">
        <v>1026</v>
      </c>
      <c r="J68" t="s">
        <v>1036</v>
      </c>
      <c r="K68" t="s">
        <v>332</v>
      </c>
      <c r="L68" t="s">
        <v>1037</v>
      </c>
      <c r="M68" t="s">
        <v>1038</v>
      </c>
      <c r="N68" t="s">
        <v>1039</v>
      </c>
      <c r="O68" t="s">
        <v>1040</v>
      </c>
      <c r="P68" t="s">
        <v>1041</v>
      </c>
      <c r="Q68" t="s">
        <v>226</v>
      </c>
      <c r="R68" t="s">
        <v>226</v>
      </c>
      <c r="S68" s="19">
        <v>8</v>
      </c>
      <c r="T68" s="19">
        <v>9</v>
      </c>
      <c r="U68" s="19">
        <v>9</v>
      </c>
      <c r="V68" t="s">
        <v>245</v>
      </c>
      <c r="W68" s="17">
        <v>84</v>
      </c>
      <c r="X68" s="17" t="s">
        <v>260</v>
      </c>
      <c r="Y68" s="17">
        <v>8</v>
      </c>
      <c r="Z68" s="17" t="s">
        <v>229</v>
      </c>
      <c r="AA68" s="17">
        <v>9</v>
      </c>
      <c r="AB68" s="17" t="s">
        <v>1042</v>
      </c>
      <c r="AC68" s="17" t="s">
        <v>277</v>
      </c>
      <c r="AD68" s="17" t="s">
        <v>1043</v>
      </c>
    </row>
    <row r="69" ht="15" customHeight="1">
      <c r="A69" t="s">
        <v>1044</v>
      </c>
      <c r="B69" t="s">
        <v>1045</v>
      </c>
      <c r="C69" t="s">
        <v>758</v>
      </c>
      <c r="D69" t="s">
        <v>1046</v>
      </c>
      <c r="E69" t="s">
        <v>1025</v>
      </c>
      <c r="F69" t="s">
        <v>163</v>
      </c>
      <c r="G69" s="18">
        <v>200</v>
      </c>
      <c r="H69" s="19">
        <v>246</v>
      </c>
      <c r="I69" t="s">
        <v>1047</v>
      </c>
      <c r="J69" t="s">
        <v>1048</v>
      </c>
      <c r="K69" t="s">
        <v>332</v>
      </c>
      <c r="L69" t="s">
        <v>1049</v>
      </c>
      <c r="M69" t="s">
        <v>1050</v>
      </c>
      <c r="N69" t="s">
        <v>1051</v>
      </c>
      <c r="O69" t="s">
        <v>1052</v>
      </c>
      <c r="P69" t="s">
        <v>1053</v>
      </c>
      <c r="Q69" t="s">
        <v>226</v>
      </c>
      <c r="R69" t="s">
        <v>226</v>
      </c>
      <c r="S69" s="19">
        <v>8</v>
      </c>
      <c r="T69" s="19">
        <v>6</v>
      </c>
      <c r="U69" s="19">
        <v>7</v>
      </c>
      <c r="V69" t="s">
        <v>245</v>
      </c>
      <c r="W69" s="17">
        <v>75</v>
      </c>
      <c r="X69" s="17" t="s">
        <v>69</v>
      </c>
      <c r="Y69" s="17">
        <v>5</v>
      </c>
      <c r="Z69" s="17" t="s">
        <v>229</v>
      </c>
      <c r="AA69" s="17">
        <v>5</v>
      </c>
      <c r="AB69" s="17" t="s">
        <v>1054</v>
      </c>
      <c r="AC69" s="17" t="s">
        <v>470</v>
      </c>
      <c r="AD69" s="17" t="s">
        <v>1055</v>
      </c>
    </row>
    <row r="70" ht="15" customHeight="1">
      <c r="A70" t="s">
        <v>1056</v>
      </c>
      <c r="B70" t="s">
        <v>1057</v>
      </c>
      <c r="C70" t="s">
        <v>1058</v>
      </c>
      <c r="D70" t="s">
        <v>1059</v>
      </c>
      <c r="E70" t="s">
        <v>1025</v>
      </c>
      <c r="F70" t="s">
        <v>165</v>
      </c>
      <c r="G70" s="18">
        <v>90</v>
      </c>
      <c r="H70" s="19">
        <v>142</v>
      </c>
      <c r="I70" t="s">
        <v>1060</v>
      </c>
      <c r="J70" t="s">
        <v>1061</v>
      </c>
      <c r="K70" t="s">
        <v>1062</v>
      </c>
      <c r="L70" t="s">
        <v>1063</v>
      </c>
      <c r="M70" t="s">
        <v>1064</v>
      </c>
      <c r="N70" t="s">
        <v>1065</v>
      </c>
      <c r="O70" t="s">
        <v>1066</v>
      </c>
      <c r="P70" t="s">
        <v>1067</v>
      </c>
      <c r="Q70" t="s">
        <v>226</v>
      </c>
      <c r="R70" t="s">
        <v>226</v>
      </c>
      <c r="S70" s="19">
        <v>9</v>
      </c>
      <c r="T70" s="19">
        <v>8</v>
      </c>
      <c r="U70" s="19">
        <v>10</v>
      </c>
      <c r="V70" t="s">
        <v>816</v>
      </c>
      <c r="W70" s="17">
        <v>88</v>
      </c>
      <c r="X70" s="17" t="s">
        <v>228</v>
      </c>
      <c r="Y70" s="17">
        <v>9</v>
      </c>
      <c r="Z70" s="17" t="s">
        <v>647</v>
      </c>
      <c r="AA70" s="17">
        <v>10</v>
      </c>
      <c r="AB70" s="17" t="s">
        <v>1068</v>
      </c>
      <c r="AC70" s="17" t="s">
        <v>277</v>
      </c>
      <c r="AD70" s="17" t="s">
        <v>1069</v>
      </c>
    </row>
    <row r="71" ht="15" customHeight="1">
      <c r="A71" t="s">
        <v>1070</v>
      </c>
      <c r="B71" t="s">
        <v>1071</v>
      </c>
      <c r="C71" t="s">
        <v>1072</v>
      </c>
      <c r="D71" t="s">
        <v>1073</v>
      </c>
      <c r="E71" t="s">
        <v>1025</v>
      </c>
      <c r="F71" t="s">
        <v>165</v>
      </c>
      <c r="G71" s="18">
        <v>30</v>
      </c>
      <c r="H71" s="19">
        <v>58</v>
      </c>
      <c r="I71" t="s">
        <v>1074</v>
      </c>
      <c r="J71" t="s">
        <v>1075</v>
      </c>
      <c r="K71" t="s">
        <v>220</v>
      </c>
      <c r="L71" t="s">
        <v>1076</v>
      </c>
      <c r="M71" t="s">
        <v>1077</v>
      </c>
      <c r="N71" t="s">
        <v>1078</v>
      </c>
      <c r="O71" t="s">
        <v>1067</v>
      </c>
      <c r="P71" t="s">
        <v>1079</v>
      </c>
      <c r="Q71" t="s">
        <v>1080</v>
      </c>
      <c r="R71" t="s">
        <v>226</v>
      </c>
      <c r="S71" s="19">
        <v>8</v>
      </c>
      <c r="T71" s="19">
        <v>10</v>
      </c>
      <c r="U71" s="19">
        <v>9</v>
      </c>
      <c r="V71" t="s">
        <v>245</v>
      </c>
      <c r="W71" s="17">
        <v>85</v>
      </c>
      <c r="X71" s="17" t="s">
        <v>260</v>
      </c>
      <c r="Y71" s="17">
        <v>9</v>
      </c>
      <c r="Z71" s="17" t="s">
        <v>647</v>
      </c>
      <c r="AA71" s="17">
        <v>10</v>
      </c>
      <c r="AB71" s="17" t="s">
        <v>742</v>
      </c>
      <c r="AC71" s="17" t="s">
        <v>277</v>
      </c>
      <c r="AD71" s="17" t="s">
        <v>1081</v>
      </c>
    </row>
    <row r="72" ht="15" customHeight="1">
      <c r="A72" t="s">
        <v>1082</v>
      </c>
      <c r="B72" t="s">
        <v>1083</v>
      </c>
      <c r="C72" t="s">
        <v>1084</v>
      </c>
      <c r="D72" t="s">
        <v>1085</v>
      </c>
      <c r="E72" t="s">
        <v>1025</v>
      </c>
      <c r="F72" t="s">
        <v>167</v>
      </c>
      <c r="G72" s="18">
        <v>40</v>
      </c>
      <c r="H72" s="19">
        <v>150</v>
      </c>
      <c r="I72" t="s">
        <v>1086</v>
      </c>
      <c r="J72" t="s">
        <v>1087</v>
      </c>
      <c r="K72" t="s">
        <v>220</v>
      </c>
      <c r="L72" t="s">
        <v>1088</v>
      </c>
      <c r="M72" t="s">
        <v>1089</v>
      </c>
      <c r="N72" t="s">
        <v>1090</v>
      </c>
      <c r="O72" t="s">
        <v>1091</v>
      </c>
      <c r="P72" t="s">
        <v>1092</v>
      </c>
      <c r="Q72" t="s">
        <v>226</v>
      </c>
      <c r="R72" t="s">
        <v>226</v>
      </c>
      <c r="S72" s="19">
        <v>9</v>
      </c>
      <c r="T72" s="19">
        <v>8</v>
      </c>
      <c r="U72" s="19">
        <v>9</v>
      </c>
      <c r="V72" t="s">
        <v>816</v>
      </c>
      <c r="W72" s="17">
        <v>86</v>
      </c>
      <c r="X72" s="17" t="s">
        <v>260</v>
      </c>
      <c r="Y72" s="17">
        <v>9</v>
      </c>
      <c r="Z72" s="17" t="s">
        <v>229</v>
      </c>
      <c r="AA72" s="17">
        <v>8</v>
      </c>
      <c r="AB72" s="17" t="s">
        <v>1093</v>
      </c>
      <c r="AC72" s="17" t="s">
        <v>277</v>
      </c>
      <c r="AD72" s="17" t="s">
        <v>1094</v>
      </c>
    </row>
    <row r="73" ht="15" customHeight="1">
      <c r="A73" t="s">
        <v>1095</v>
      </c>
      <c r="B73" t="s">
        <v>1096</v>
      </c>
      <c r="C73" t="s">
        <v>281</v>
      </c>
      <c r="D73" t="s">
        <v>1097</v>
      </c>
      <c r="E73" t="s">
        <v>1025</v>
      </c>
      <c r="F73" t="s">
        <v>167</v>
      </c>
      <c r="G73" s="18">
        <v>25</v>
      </c>
      <c r="H73" s="19">
        <v>45</v>
      </c>
      <c r="I73" t="s">
        <v>1098</v>
      </c>
      <c r="J73" t="s">
        <v>1099</v>
      </c>
      <c r="K73" t="s">
        <v>303</v>
      </c>
      <c r="L73" t="s">
        <v>1100</v>
      </c>
      <c r="M73" t="s">
        <v>1101</v>
      </c>
      <c r="N73" t="s">
        <v>1102</v>
      </c>
      <c r="O73" t="s">
        <v>1103</v>
      </c>
      <c r="P73" t="s">
        <v>1104</v>
      </c>
      <c r="Q73" t="s">
        <v>226</v>
      </c>
      <c r="R73" t="s">
        <v>226</v>
      </c>
      <c r="S73" s="19">
        <v>8</v>
      </c>
      <c r="T73" s="19">
        <v>9</v>
      </c>
      <c r="U73" s="19">
        <v>8</v>
      </c>
      <c r="V73" t="s">
        <v>469</v>
      </c>
      <c r="W73" s="17">
        <v>81</v>
      </c>
      <c r="X73" s="17" t="s">
        <v>69</v>
      </c>
      <c r="Y73" s="17">
        <v>8</v>
      </c>
      <c r="Z73" s="17" t="s">
        <v>229</v>
      </c>
      <c r="AA73" s="17">
        <v>7</v>
      </c>
      <c r="AB73" s="17" t="s">
        <v>309</v>
      </c>
      <c r="AC73" s="17" t="s">
        <v>277</v>
      </c>
      <c r="AD73" s="17" t="s">
        <v>1105</v>
      </c>
    </row>
    <row r="74" ht="15" customHeight="1">
      <c r="A74" t="s">
        <v>1106</v>
      </c>
      <c r="B74" t="s">
        <v>1107</v>
      </c>
      <c r="C74" t="s">
        <v>1108</v>
      </c>
      <c r="D74" t="s">
        <v>1109</v>
      </c>
      <c r="E74" t="s">
        <v>1025</v>
      </c>
      <c r="F74" t="s">
        <v>169</v>
      </c>
      <c r="G74" s="18">
        <v>35</v>
      </c>
      <c r="H74" s="19">
        <v>40</v>
      </c>
      <c r="I74" t="s">
        <v>1110</v>
      </c>
      <c r="J74" t="s">
        <v>1111</v>
      </c>
      <c r="K74" t="s">
        <v>440</v>
      </c>
      <c r="L74" t="s">
        <v>1112</v>
      </c>
      <c r="M74" t="s">
        <v>1113</v>
      </c>
      <c r="N74" t="s">
        <v>1114</v>
      </c>
      <c r="O74" t="s">
        <v>1115</v>
      </c>
      <c r="P74" t="s">
        <v>1116</v>
      </c>
      <c r="Q74" t="s">
        <v>226</v>
      </c>
      <c r="R74" t="s">
        <v>226</v>
      </c>
      <c r="S74" s="19">
        <v>9</v>
      </c>
      <c r="T74" s="19">
        <v>9</v>
      </c>
      <c r="U74" s="19">
        <v>9</v>
      </c>
      <c r="V74" t="s">
        <v>338</v>
      </c>
      <c r="W74" s="17">
        <v>88</v>
      </c>
      <c r="X74" s="17" t="s">
        <v>260</v>
      </c>
      <c r="Y74" s="17">
        <v>7</v>
      </c>
      <c r="Z74" s="17" t="s">
        <v>229</v>
      </c>
      <c r="AA74" s="17">
        <v>9</v>
      </c>
      <c r="AB74" s="17" t="s">
        <v>1117</v>
      </c>
      <c r="AC74" s="17" t="s">
        <v>277</v>
      </c>
      <c r="AD74" s="17" t="s">
        <v>1118</v>
      </c>
    </row>
    <row r="75" ht="15" customHeight="1">
      <c r="A75" t="s">
        <v>1119</v>
      </c>
      <c r="B75" t="s">
        <v>1120</v>
      </c>
      <c r="C75" t="s">
        <v>1121</v>
      </c>
      <c r="D75" t="s">
        <v>1122</v>
      </c>
      <c r="E75" t="s">
        <v>58</v>
      </c>
      <c r="F75" t="s">
        <v>173</v>
      </c>
      <c r="G75" s="18">
        <v>40</v>
      </c>
      <c r="H75" s="19">
        <v>260</v>
      </c>
      <c r="I75" t="s">
        <v>1123</v>
      </c>
      <c r="J75" t="s">
        <v>1124</v>
      </c>
      <c r="K75" t="s">
        <v>440</v>
      </c>
      <c r="L75" t="s">
        <v>1125</v>
      </c>
      <c r="M75" t="s">
        <v>1126</v>
      </c>
      <c r="N75" t="s">
        <v>1127</v>
      </c>
      <c r="O75" t="s">
        <v>1128</v>
      </c>
      <c r="P75" t="s">
        <v>1129</v>
      </c>
      <c r="Q75" t="s">
        <v>226</v>
      </c>
      <c r="R75" t="s">
        <v>226</v>
      </c>
      <c r="S75" s="19">
        <v>9</v>
      </c>
      <c r="T75" s="19">
        <v>9</v>
      </c>
      <c r="U75" s="19">
        <v>8</v>
      </c>
      <c r="V75" t="s">
        <v>816</v>
      </c>
      <c r="W75" s="17">
        <v>86</v>
      </c>
      <c r="X75" s="17" t="s">
        <v>228</v>
      </c>
      <c r="Y75" s="17">
        <v>8</v>
      </c>
      <c r="Z75" s="17" t="s">
        <v>229</v>
      </c>
      <c r="AA75" s="17">
        <v>7</v>
      </c>
      <c r="AB75" s="17" t="s">
        <v>339</v>
      </c>
      <c r="AC75" s="17" t="s">
        <v>277</v>
      </c>
      <c r="AD75" s="17" t="s">
        <v>1130</v>
      </c>
    </row>
    <row r="76" ht="15" customHeight="1">
      <c r="A76" t="s">
        <v>1131</v>
      </c>
      <c r="B76" t="s">
        <v>1132</v>
      </c>
      <c r="C76" t="s">
        <v>1121</v>
      </c>
      <c r="D76" t="s">
        <v>1133</v>
      </c>
      <c r="E76" t="s">
        <v>58</v>
      </c>
      <c r="F76" t="s">
        <v>173</v>
      </c>
      <c r="G76" s="18">
        <v>25</v>
      </c>
      <c r="H76" s="19">
        <v>130</v>
      </c>
      <c r="I76" t="s">
        <v>1134</v>
      </c>
      <c r="J76" t="s">
        <v>1135</v>
      </c>
      <c r="K76" t="s">
        <v>440</v>
      </c>
      <c r="L76" t="s">
        <v>1136</v>
      </c>
      <c r="M76" t="s">
        <v>1137</v>
      </c>
      <c r="N76" t="s">
        <v>1138</v>
      </c>
      <c r="O76" t="s">
        <v>1139</v>
      </c>
      <c r="P76" t="s">
        <v>1140</v>
      </c>
      <c r="Q76" t="s">
        <v>226</v>
      </c>
      <c r="R76" t="s">
        <v>226</v>
      </c>
      <c r="S76" s="19">
        <v>8</v>
      </c>
      <c r="T76" s="19">
        <v>9</v>
      </c>
      <c r="U76" s="19">
        <v>8</v>
      </c>
      <c r="V76" t="s">
        <v>245</v>
      </c>
      <c r="W76" s="17">
        <v>81</v>
      </c>
      <c r="X76" s="17" t="s">
        <v>260</v>
      </c>
      <c r="Y76" s="17">
        <v>7</v>
      </c>
      <c r="Z76" s="17" t="s">
        <v>229</v>
      </c>
      <c r="AA76" s="17">
        <v>6</v>
      </c>
      <c r="AB76" s="17" t="s">
        <v>690</v>
      </c>
      <c r="AC76" s="17" t="s">
        <v>277</v>
      </c>
      <c r="AD76" s="17" t="s">
        <v>1141</v>
      </c>
    </row>
    <row r="77" ht="15" customHeight="1">
      <c r="A77" t="s">
        <v>1142</v>
      </c>
      <c r="B77" t="s">
        <v>1143</v>
      </c>
      <c r="C77" t="s">
        <v>1144</v>
      </c>
      <c r="D77" t="s">
        <v>1145</v>
      </c>
      <c r="E77" t="s">
        <v>58</v>
      </c>
      <c r="F77" t="s">
        <v>175</v>
      </c>
      <c r="G77" s="18">
        <v>8</v>
      </c>
      <c r="H77" s="19">
        <v>70</v>
      </c>
      <c r="I77" t="s">
        <v>1146</v>
      </c>
      <c r="J77" t="s">
        <v>1147</v>
      </c>
      <c r="K77" t="s">
        <v>440</v>
      </c>
      <c r="L77" t="s">
        <v>1148</v>
      </c>
      <c r="M77" t="s">
        <v>1149</v>
      </c>
      <c r="N77" t="s">
        <v>1150</v>
      </c>
      <c r="O77" t="s">
        <v>1151</v>
      </c>
      <c r="P77" t="s">
        <v>1152</v>
      </c>
      <c r="Q77" t="s">
        <v>226</v>
      </c>
      <c r="R77" t="s">
        <v>226</v>
      </c>
      <c r="S77" s="19">
        <v>8</v>
      </c>
      <c r="T77" s="19">
        <v>10</v>
      </c>
      <c r="U77" s="19">
        <v>7</v>
      </c>
      <c r="V77" t="s">
        <v>338</v>
      </c>
      <c r="W77" s="17">
        <v>82</v>
      </c>
      <c r="X77" s="17" t="s">
        <v>228</v>
      </c>
      <c r="Y77" s="17">
        <v>8</v>
      </c>
      <c r="Z77" s="17" t="s">
        <v>229</v>
      </c>
      <c r="AA77" s="17">
        <v>5</v>
      </c>
      <c r="AB77" s="17" t="s">
        <v>1153</v>
      </c>
      <c r="AC77" s="17" t="s">
        <v>277</v>
      </c>
      <c r="AD77" s="17" t="s">
        <v>1154</v>
      </c>
    </row>
    <row r="78" ht="15" customHeight="1">
      <c r="A78" t="s">
        <v>1155</v>
      </c>
      <c r="B78" t="s">
        <v>1156</v>
      </c>
      <c r="C78" t="s">
        <v>1157</v>
      </c>
      <c r="D78" t="s">
        <v>1158</v>
      </c>
      <c r="E78" t="s">
        <v>58</v>
      </c>
      <c r="F78" t="s">
        <v>177</v>
      </c>
      <c r="G78" s="18">
        <v>8</v>
      </c>
      <c r="H78" s="19">
        <v>7</v>
      </c>
      <c r="I78" t="s">
        <v>1159</v>
      </c>
      <c r="J78" t="s">
        <v>1160</v>
      </c>
      <c r="K78" t="s">
        <v>220</v>
      </c>
      <c r="L78" t="s">
        <v>1161</v>
      </c>
      <c r="M78" t="s">
        <v>1162</v>
      </c>
      <c r="N78" t="s">
        <v>1163</v>
      </c>
      <c r="O78" t="s">
        <v>1164</v>
      </c>
      <c r="P78" t="s">
        <v>1165</v>
      </c>
      <c r="Q78" t="s">
        <v>226</v>
      </c>
      <c r="R78" t="s">
        <v>226</v>
      </c>
      <c r="S78" s="19">
        <v>9</v>
      </c>
      <c r="T78" s="19">
        <v>10</v>
      </c>
      <c r="U78" s="19">
        <v>10</v>
      </c>
      <c r="V78" t="s">
        <v>245</v>
      </c>
      <c r="W78" s="17">
        <v>92</v>
      </c>
      <c r="X78" s="17" t="s">
        <v>228</v>
      </c>
      <c r="Y78" s="17">
        <v>9</v>
      </c>
      <c r="Z78" s="17" t="s">
        <v>229</v>
      </c>
      <c r="AA78" s="17">
        <v>10</v>
      </c>
      <c r="AB78" s="17" t="s">
        <v>1166</v>
      </c>
      <c r="AC78" s="17" t="s">
        <v>277</v>
      </c>
      <c r="AD78" s="17" t="s">
        <v>1167</v>
      </c>
    </row>
    <row r="79" ht="15" customHeight="1">
      <c r="A79" t="s">
        <v>1168</v>
      </c>
      <c r="B79" t="s">
        <v>1169</v>
      </c>
      <c r="C79" t="s">
        <v>281</v>
      </c>
      <c r="D79" t="s">
        <v>1170</v>
      </c>
      <c r="E79" t="s">
        <v>1171</v>
      </c>
      <c r="F79" t="s">
        <v>181</v>
      </c>
      <c r="G79" s="18">
        <v>35</v>
      </c>
      <c r="H79" s="19">
        <v>120</v>
      </c>
      <c r="I79" t="s">
        <v>1172</v>
      </c>
      <c r="J79" t="s">
        <v>1173</v>
      </c>
      <c r="K79" t="s">
        <v>303</v>
      </c>
      <c r="L79" t="s">
        <v>1174</v>
      </c>
      <c r="M79" t="s">
        <v>1175</v>
      </c>
      <c r="N79" t="s">
        <v>257</v>
      </c>
      <c r="O79" t="s">
        <v>1176</v>
      </c>
      <c r="P79" t="s">
        <v>1177</v>
      </c>
      <c r="Q79" t="s">
        <v>226</v>
      </c>
      <c r="R79" t="s">
        <v>226</v>
      </c>
      <c r="S79" s="19">
        <v>9</v>
      </c>
      <c r="T79" s="19">
        <v>7</v>
      </c>
      <c r="U79" s="19">
        <v>8</v>
      </c>
      <c r="V79" t="s">
        <v>469</v>
      </c>
      <c r="W79" s="17">
        <v>82</v>
      </c>
      <c r="X79" s="17" t="s">
        <v>260</v>
      </c>
      <c r="Y79" s="17">
        <v>8</v>
      </c>
      <c r="Z79" s="17" t="s">
        <v>229</v>
      </c>
      <c r="AA79" s="17">
        <v>7</v>
      </c>
      <c r="AB79" s="17" t="s">
        <v>870</v>
      </c>
      <c r="AC79" s="17" t="s">
        <v>277</v>
      </c>
      <c r="AD79" s="17" t="s">
        <v>1178</v>
      </c>
    </row>
    <row r="80" ht="15" customHeight="1">
      <c r="A80" t="s">
        <v>1179</v>
      </c>
      <c r="B80" t="s">
        <v>1180</v>
      </c>
      <c r="C80" t="s">
        <v>281</v>
      </c>
      <c r="D80" t="s">
        <v>1181</v>
      </c>
      <c r="E80" t="s">
        <v>1171</v>
      </c>
      <c r="F80" t="s">
        <v>183</v>
      </c>
      <c r="G80" s="18">
        <v>20</v>
      </c>
      <c r="H80" s="19">
        <v>60</v>
      </c>
      <c r="I80" t="s">
        <v>1182</v>
      </c>
      <c r="J80" t="s">
        <v>1183</v>
      </c>
      <c r="K80" t="s">
        <v>303</v>
      </c>
      <c r="L80" t="s">
        <v>1184</v>
      </c>
      <c r="M80" t="s">
        <v>1185</v>
      </c>
      <c r="N80" t="s">
        <v>1186</v>
      </c>
      <c r="O80" t="s">
        <v>1187</v>
      </c>
      <c r="P80" t="s">
        <v>1188</v>
      </c>
      <c r="Q80" t="s">
        <v>226</v>
      </c>
      <c r="R80" t="s">
        <v>226</v>
      </c>
      <c r="S80" s="19">
        <v>8</v>
      </c>
      <c r="T80" s="19">
        <v>9</v>
      </c>
      <c r="U80" s="19">
        <v>8</v>
      </c>
      <c r="V80" t="s">
        <v>292</v>
      </c>
      <c r="W80" s="17">
        <v>81</v>
      </c>
      <c r="X80" s="17" t="s">
        <v>69</v>
      </c>
      <c r="Y80" s="17">
        <v>8</v>
      </c>
      <c r="Z80" s="17" t="s">
        <v>229</v>
      </c>
      <c r="AA80" s="17">
        <v>7</v>
      </c>
      <c r="AB80" s="17" t="s">
        <v>1189</v>
      </c>
      <c r="AC80" s="17" t="s">
        <v>277</v>
      </c>
      <c r="AD80" s="17" t="s">
        <v>1190</v>
      </c>
    </row>
    <row r="81" ht="15" customHeight="1">
      <c r="A81" t="s">
        <v>1191</v>
      </c>
      <c r="B81" t="s">
        <v>1192</v>
      </c>
      <c r="C81" t="s">
        <v>1193</v>
      </c>
      <c r="D81" t="s">
        <v>1194</v>
      </c>
      <c r="E81" t="s">
        <v>861</v>
      </c>
      <c r="F81" t="s">
        <v>147</v>
      </c>
      <c r="G81" s="18">
        <v>50</v>
      </c>
      <c r="H81" s="19">
        <v>350</v>
      </c>
      <c r="I81" t="s">
        <v>862</v>
      </c>
      <c r="J81" t="s">
        <v>1195</v>
      </c>
      <c r="K81" t="s">
        <v>1196</v>
      </c>
      <c r="L81" t="s">
        <v>1197</v>
      </c>
      <c r="M81" t="s">
        <v>1198</v>
      </c>
      <c r="N81" t="s">
        <v>1199</v>
      </c>
      <c r="O81" t="s">
        <v>1200</v>
      </c>
      <c r="P81" t="s">
        <v>1201</v>
      </c>
      <c r="Q81" t="s">
        <v>1202</v>
      </c>
      <c r="R81" t="s">
        <v>1203</v>
      </c>
      <c r="S81" s="19">
        <v>7</v>
      </c>
      <c r="T81" s="19">
        <v>10</v>
      </c>
      <c r="U81" s="19">
        <v>7</v>
      </c>
      <c r="V81" t="s">
        <v>566</v>
      </c>
      <c r="W81" s="17">
        <v>78</v>
      </c>
      <c r="X81" s="17" t="s">
        <v>260</v>
      </c>
      <c r="Y81" s="17">
        <v>8</v>
      </c>
      <c r="Z81" s="17" t="s">
        <v>229</v>
      </c>
      <c r="AA81" s="17">
        <v>6</v>
      </c>
      <c r="AB81" s="17" t="s">
        <v>368</v>
      </c>
      <c r="AC81" s="17" t="s">
        <v>263</v>
      </c>
      <c r="AD81" s="17" t="s">
        <v>1204</v>
      </c>
    </row>
    <row r="82" ht="15" customHeight="1">
      <c r="A82" t="s">
        <v>1205</v>
      </c>
      <c r="B82" t="s">
        <v>1206</v>
      </c>
      <c r="C82" t="s">
        <v>1193</v>
      </c>
      <c r="D82" t="s">
        <v>1207</v>
      </c>
      <c r="E82" t="s">
        <v>32</v>
      </c>
      <c r="F82" t="s">
        <v>252</v>
      </c>
      <c r="G82" s="18">
        <v>70</v>
      </c>
      <c r="H82" s="19">
        <v>1200</v>
      </c>
      <c r="I82" t="s">
        <v>1208</v>
      </c>
      <c r="J82" t="s">
        <v>918</v>
      </c>
      <c r="K82" t="s">
        <v>1196</v>
      </c>
      <c r="L82" t="s">
        <v>1209</v>
      </c>
      <c r="M82" t="s">
        <v>1210</v>
      </c>
      <c r="N82" t="s">
        <v>1211</v>
      </c>
      <c r="O82" t="s">
        <v>1212</v>
      </c>
      <c r="P82" t="s">
        <v>1213</v>
      </c>
      <c r="Q82" t="s">
        <v>1202</v>
      </c>
      <c r="R82" t="s">
        <v>1203</v>
      </c>
      <c r="S82" s="19">
        <v>7</v>
      </c>
      <c r="T82" s="19">
        <v>10</v>
      </c>
      <c r="U82" s="19">
        <v>8</v>
      </c>
      <c r="V82" t="s">
        <v>1214</v>
      </c>
      <c r="W82" s="17">
        <v>79</v>
      </c>
      <c r="X82" s="17" t="s">
        <v>260</v>
      </c>
      <c r="Y82" s="17">
        <v>7</v>
      </c>
      <c r="Z82" s="17" t="s">
        <v>261</v>
      </c>
      <c r="AA82" s="17">
        <v>7</v>
      </c>
      <c r="AB82" s="17" t="s">
        <v>368</v>
      </c>
      <c r="AC82" s="17" t="s">
        <v>263</v>
      </c>
      <c r="AD82" s="17" t="s">
        <v>1215</v>
      </c>
    </row>
    <row r="83" ht="15" customHeight="1">
      <c r="A83" t="s">
        <v>1216</v>
      </c>
      <c r="B83" t="s">
        <v>1217</v>
      </c>
      <c r="C83" t="s">
        <v>1193</v>
      </c>
      <c r="D83" t="s">
        <v>1218</v>
      </c>
      <c r="E83" t="s">
        <v>300</v>
      </c>
      <c r="F83" t="s">
        <v>345</v>
      </c>
      <c r="G83" s="18">
        <v>80</v>
      </c>
      <c r="H83" s="19">
        <v>3200</v>
      </c>
      <c r="I83" t="s">
        <v>1219</v>
      </c>
      <c r="J83" t="s">
        <v>1220</v>
      </c>
      <c r="K83" t="s">
        <v>286</v>
      </c>
      <c r="L83" t="s">
        <v>1221</v>
      </c>
      <c r="M83" t="s">
        <v>1222</v>
      </c>
      <c r="N83" t="s">
        <v>1223</v>
      </c>
      <c r="O83" t="s">
        <v>1224</v>
      </c>
      <c r="P83" t="s">
        <v>1225</v>
      </c>
      <c r="Q83" t="s">
        <v>1202</v>
      </c>
      <c r="R83" t="s">
        <v>1203</v>
      </c>
      <c r="S83" s="19">
        <v>6</v>
      </c>
      <c r="T83" s="19">
        <v>10</v>
      </c>
      <c r="U83" s="19">
        <v>7</v>
      </c>
      <c r="V83" t="s">
        <v>1214</v>
      </c>
      <c r="W83" s="17">
        <v>72</v>
      </c>
      <c r="X83" s="17" t="s">
        <v>69</v>
      </c>
      <c r="Y83" s="17">
        <v>5</v>
      </c>
      <c r="Z83" s="17" t="s">
        <v>261</v>
      </c>
      <c r="AA83" s="17">
        <v>5</v>
      </c>
      <c r="AB83" s="17" t="s">
        <v>1226</v>
      </c>
      <c r="AC83" s="17" t="s">
        <v>470</v>
      </c>
      <c r="AD83" s="17" t="s">
        <v>1227</v>
      </c>
    </row>
    <row r="84" ht="15" customHeight="1">
      <c r="A84" t="s">
        <v>1228</v>
      </c>
      <c r="B84" t="s">
        <v>1229</v>
      </c>
      <c r="C84" t="s">
        <v>1230</v>
      </c>
      <c r="D84" t="s">
        <v>522</v>
      </c>
      <c r="E84" t="s">
        <v>300</v>
      </c>
      <c r="F84" t="s">
        <v>95</v>
      </c>
      <c r="G84" s="18">
        <v>130</v>
      </c>
      <c r="H84" s="19">
        <v>1500</v>
      </c>
      <c r="I84" t="s">
        <v>1231</v>
      </c>
      <c r="J84" t="s">
        <v>1232</v>
      </c>
      <c r="K84" t="s">
        <v>317</v>
      </c>
      <c r="L84" t="s">
        <v>1233</v>
      </c>
      <c r="M84" t="s">
        <v>1234</v>
      </c>
      <c r="N84" t="s">
        <v>1235</v>
      </c>
      <c r="O84" t="s">
        <v>1236</v>
      </c>
      <c r="P84" t="s">
        <v>1237</v>
      </c>
      <c r="Q84" t="s">
        <v>565</v>
      </c>
      <c r="R84" t="s">
        <v>226</v>
      </c>
      <c r="S84" s="19">
        <v>7</v>
      </c>
      <c r="T84" s="19">
        <v>9</v>
      </c>
      <c r="U84" s="19">
        <v>6</v>
      </c>
      <c r="V84" t="s">
        <v>1238</v>
      </c>
      <c r="W84" s="17">
        <v>74</v>
      </c>
      <c r="X84" s="17" t="s">
        <v>260</v>
      </c>
      <c r="Y84" s="17">
        <v>6</v>
      </c>
      <c r="Z84" s="17" t="s">
        <v>261</v>
      </c>
      <c r="AA84" s="17">
        <v>4</v>
      </c>
      <c r="AB84" s="17" t="s">
        <v>1239</v>
      </c>
      <c r="AC84" s="17" t="s">
        <v>231</v>
      </c>
      <c r="AD84" s="17" t="s">
        <v>1240</v>
      </c>
    </row>
  </sheetData>
  <mergeCells>
    <mergeCell ref="A1:A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8D3FB27-561F-731D-1368-178836037BA2}" mc:Ignorable="x14ac xr xr2 xr3">
  <dimension ref="A1:GR1000"/>
  <sheetViews>
    <sheetView topLeftCell="A1" workbookViewId="0">
      <pane ySplit="3" topLeftCell="A21" activePane="bottomLeft" state="frozen"/>
      <selection pane="bottomLeft" activeCell="A3" sqref="A3"/>
    </sheetView>
  </sheetViews>
  <sheetFormatPr defaultRowHeight="15" defaultColWidth="8.8515625" customHeight="1"/>
  <cols>
    <col min="1" max="1" width="20.00390625" customWidth="1"/>
    <col min="2" max="2" width="31.421875" customWidth="1"/>
    <col min="3" max="3" width="25.00390625" customWidth="1"/>
    <col min="4" max="4" width="11.421875" customWidth="1"/>
    <col min="5" max="5" width="20.7109375" customWidth="1"/>
    <col min="6" max="6" width="31.421875" customWidth="1"/>
    <col min="7" max="7" width="40.00390625" customWidth="1"/>
    <col min="8" max="8" width="28.57421875" customWidth="1"/>
  </cols>
  <sheetData>
    <row r="1" ht="30" customHeight="1">
      <c r="A1" s="9" t="s">
        <v>1241</v>
      </c>
    </row>
    <row r="3" ht="15" customHeight="1">
      <c r="A3" s="14" t="s">
        <v>28</v>
      </c>
      <c r="B3" s="14" t="s">
        <v>1242</v>
      </c>
      <c r="C3" s="14" t="s">
        <v>1243</v>
      </c>
      <c r="D3" s="14" t="s">
        <v>1244</v>
      </c>
      <c r="E3" s="14" t="s">
        <v>1245</v>
      </c>
      <c r="F3" s="14" t="s">
        <v>1246</v>
      </c>
      <c r="G3" s="14" t="s">
        <v>1247</v>
      </c>
      <c r="H3" s="14" t="s">
        <v>1248</v>
      </c>
    </row>
    <row r="4" ht="15" customHeight="1">
      <c r="A4" s="11" t="s">
        <v>1249</v>
      </c>
      <c r="B4" s="11" t="s">
        <v>1250</v>
      </c>
      <c r="C4" s="11" t="s">
        <v>1251</v>
      </c>
      <c r="D4" s="11" t="s">
        <v>1252</v>
      </c>
      <c r="E4" s="11" t="s">
        <v>1253</v>
      </c>
      <c r="F4" s="11" t="s">
        <v>1254</v>
      </c>
      <c r="G4" s="11" t="s">
        <v>1255</v>
      </c>
      <c r="H4" s="11" t="s">
        <v>1256</v>
      </c>
    </row>
    <row r="5" ht="15" customHeight="1">
      <c r="A5" s="8" t="s">
        <v>1249</v>
      </c>
      <c r="B5" s="8" t="s">
        <v>1257</v>
      </c>
      <c r="C5" s="8" t="s">
        <v>1251</v>
      </c>
      <c r="D5" s="8" t="s">
        <v>1258</v>
      </c>
      <c r="E5" s="8" t="s">
        <v>1259</v>
      </c>
      <c r="F5" s="8" t="s">
        <v>1260</v>
      </c>
      <c r="G5" s="8" t="s">
        <v>1261</v>
      </c>
      <c r="H5" s="8" t="s">
        <v>1262</v>
      </c>
    </row>
    <row r="6" ht="15" customHeight="1">
      <c r="A6" s="8" t="s">
        <v>1249</v>
      </c>
      <c r="B6" s="8" t="s">
        <v>1263</v>
      </c>
      <c r="C6" s="8" t="s">
        <v>1264</v>
      </c>
      <c r="D6" s="8" t="s">
        <v>1265</v>
      </c>
      <c r="E6" s="8" t="s">
        <v>1266</v>
      </c>
      <c r="F6" s="8" t="s">
        <v>1267</v>
      </c>
      <c r="G6" s="8" t="s">
        <v>1268</v>
      </c>
      <c r="H6" s="8" t="s">
        <v>1269</v>
      </c>
    </row>
    <row r="7" ht="15" customHeight="1">
      <c r="A7" s="8" t="s">
        <v>1249</v>
      </c>
      <c r="B7" s="8" t="s">
        <v>1270</v>
      </c>
      <c r="C7" s="8" t="s">
        <v>1271</v>
      </c>
      <c r="D7" s="8" t="s">
        <v>1272</v>
      </c>
      <c r="E7" s="8" t="s">
        <v>1273</v>
      </c>
      <c r="F7" s="8" t="s">
        <v>1274</v>
      </c>
      <c r="G7" s="8" t="s">
        <v>1275</v>
      </c>
      <c r="H7" s="8" t="s">
        <v>1276</v>
      </c>
    </row>
    <row r="8" ht="15" customHeight="1">
      <c r="A8" s="11" t="s">
        <v>1277</v>
      </c>
      <c r="B8" s="11" t="s">
        <v>1278</v>
      </c>
      <c r="C8" s="11" t="s">
        <v>1279</v>
      </c>
      <c r="D8" s="11" t="s">
        <v>1280</v>
      </c>
      <c r="E8" s="11" t="s">
        <v>1281</v>
      </c>
      <c r="F8" s="11" t="s">
        <v>1282</v>
      </c>
      <c r="G8" s="11" t="s">
        <v>1283</v>
      </c>
      <c r="H8" s="11" t="s">
        <v>1284</v>
      </c>
    </row>
    <row r="9" ht="15" customHeight="1">
      <c r="A9" s="8" t="s">
        <v>1277</v>
      </c>
      <c r="B9" s="8" t="s">
        <v>1285</v>
      </c>
      <c r="C9" s="8" t="s">
        <v>1286</v>
      </c>
      <c r="D9" s="8" t="s">
        <v>1287</v>
      </c>
      <c r="E9" s="8" t="s">
        <v>1288</v>
      </c>
      <c r="F9" s="8" t="s">
        <v>1289</v>
      </c>
      <c r="G9" s="8" t="s">
        <v>1290</v>
      </c>
      <c r="H9" s="8" t="s">
        <v>1291</v>
      </c>
    </row>
    <row r="10" ht="15" customHeight="1">
      <c r="A10" s="8" t="s">
        <v>1277</v>
      </c>
      <c r="B10" s="8" t="s">
        <v>1292</v>
      </c>
      <c r="C10" s="8" t="s">
        <v>1293</v>
      </c>
      <c r="D10" s="8" t="s">
        <v>1294</v>
      </c>
      <c r="E10" s="8" t="s">
        <v>1295</v>
      </c>
      <c r="F10" s="8" t="s">
        <v>1296</v>
      </c>
      <c r="G10" s="8" t="s">
        <v>1297</v>
      </c>
      <c r="H10" s="8" t="s">
        <v>1298</v>
      </c>
    </row>
    <row r="11" ht="15" customHeight="1">
      <c r="A11" s="11" t="s">
        <v>1299</v>
      </c>
      <c r="B11" s="11" t="s">
        <v>1300</v>
      </c>
      <c r="C11" s="11" t="s">
        <v>681</v>
      </c>
      <c r="D11" s="11" t="s">
        <v>1301</v>
      </c>
      <c r="E11" s="11" t="s">
        <v>1302</v>
      </c>
      <c r="F11" s="11" t="s">
        <v>1303</v>
      </c>
      <c r="G11" s="11" t="s">
        <v>1304</v>
      </c>
      <c r="H11" s="11" t="s">
        <v>1305</v>
      </c>
    </row>
    <row r="12" ht="15" customHeight="1">
      <c r="A12" s="8" t="s">
        <v>1299</v>
      </c>
      <c r="B12" s="8" t="s">
        <v>752</v>
      </c>
      <c r="C12" s="8" t="s">
        <v>1306</v>
      </c>
      <c r="D12" s="8" t="s">
        <v>1307</v>
      </c>
      <c r="E12" s="8" t="s">
        <v>1308</v>
      </c>
      <c r="F12" s="8" t="s">
        <v>1309</v>
      </c>
      <c r="G12" s="8" t="s">
        <v>1310</v>
      </c>
      <c r="H12" s="8" t="s">
        <v>1311</v>
      </c>
    </row>
    <row r="13" ht="15" customHeight="1">
      <c r="A13" s="8" t="s">
        <v>1299</v>
      </c>
      <c r="B13" s="8" t="s">
        <v>1312</v>
      </c>
      <c r="C13" s="8" t="s">
        <v>667</v>
      </c>
      <c r="D13" s="8" t="s">
        <v>1313</v>
      </c>
      <c r="E13" s="8" t="s">
        <v>1314</v>
      </c>
      <c r="F13" s="8" t="s">
        <v>1309</v>
      </c>
      <c r="G13" s="8" t="s">
        <v>1315</v>
      </c>
      <c r="H13" s="8" t="s">
        <v>1316</v>
      </c>
    </row>
    <row r="14" ht="15" customHeight="1">
      <c r="A14" s="8" t="s">
        <v>1299</v>
      </c>
      <c r="B14" s="8" t="s">
        <v>1317</v>
      </c>
      <c r="C14" s="8" t="s">
        <v>1318</v>
      </c>
      <c r="D14" s="8" t="s">
        <v>1307</v>
      </c>
      <c r="E14" s="8" t="s">
        <v>1319</v>
      </c>
      <c r="F14" s="8" t="s">
        <v>1320</v>
      </c>
      <c r="G14" s="8" t="s">
        <v>1321</v>
      </c>
      <c r="H14" s="8" t="s">
        <v>1322</v>
      </c>
    </row>
    <row r="15" ht="15" customHeight="1">
      <c r="A15" s="11" t="s">
        <v>1323</v>
      </c>
      <c r="B15" s="11" t="s">
        <v>1324</v>
      </c>
      <c r="C15" s="11" t="s">
        <v>1325</v>
      </c>
      <c r="D15" s="11" t="s">
        <v>1272</v>
      </c>
      <c r="E15" s="11" t="s">
        <v>1326</v>
      </c>
      <c r="F15" s="11" t="s">
        <v>1327</v>
      </c>
      <c r="G15" s="11" t="s">
        <v>1328</v>
      </c>
      <c r="H15" s="11" t="s">
        <v>1329</v>
      </c>
    </row>
    <row r="16" ht="15" customHeight="1">
      <c r="A16" s="8" t="s">
        <v>1323</v>
      </c>
      <c r="B16" s="8" t="s">
        <v>1330</v>
      </c>
      <c r="C16" s="8" t="s">
        <v>1331</v>
      </c>
      <c r="D16" s="8" t="s">
        <v>1332</v>
      </c>
      <c r="E16" s="8" t="s">
        <v>1333</v>
      </c>
      <c r="F16" s="8" t="s">
        <v>1334</v>
      </c>
      <c r="G16" s="8" t="s">
        <v>1335</v>
      </c>
      <c r="H16" s="8" t="s">
        <v>1336</v>
      </c>
    </row>
    <row r="17" ht="15" customHeight="1">
      <c r="A17" s="8" t="s">
        <v>1323</v>
      </c>
      <c r="B17" s="8" t="s">
        <v>1337</v>
      </c>
      <c r="C17" s="8" t="s">
        <v>1338</v>
      </c>
      <c r="D17" s="8" t="s">
        <v>1339</v>
      </c>
      <c r="E17" s="8" t="s">
        <v>1340</v>
      </c>
      <c r="F17" s="8" t="s">
        <v>1341</v>
      </c>
      <c r="G17" s="8" t="s">
        <v>1342</v>
      </c>
      <c r="H17" s="8" t="s">
        <v>1343</v>
      </c>
    </row>
    <row r="18" ht="15" customHeight="1">
      <c r="A18" s="8" t="s">
        <v>1323</v>
      </c>
      <c r="B18" s="8" t="s">
        <v>1344</v>
      </c>
      <c r="C18" s="8" t="s">
        <v>1345</v>
      </c>
      <c r="D18" s="8" t="s">
        <v>1346</v>
      </c>
      <c r="E18" s="8" t="s">
        <v>1347</v>
      </c>
      <c r="F18" s="8" t="s">
        <v>1348</v>
      </c>
      <c r="G18" s="8" t="s">
        <v>1349</v>
      </c>
      <c r="H18" s="8" t="s">
        <v>1350</v>
      </c>
    </row>
    <row r="19" ht="15" customHeight="1">
      <c r="A19" s="8" t="s">
        <v>1323</v>
      </c>
      <c r="B19" s="8" t="s">
        <v>1351</v>
      </c>
      <c r="C19" s="8" t="s">
        <v>1352</v>
      </c>
      <c r="D19" s="8" t="s">
        <v>1353</v>
      </c>
      <c r="E19" s="8" t="s">
        <v>1354</v>
      </c>
      <c r="F19" s="8" t="s">
        <v>1348</v>
      </c>
      <c r="G19" s="8" t="s">
        <v>1355</v>
      </c>
      <c r="H19" s="8" t="s">
        <v>1356</v>
      </c>
    </row>
    <row r="20" ht="15" customHeight="1">
      <c r="A20" s="11" t="s">
        <v>1357</v>
      </c>
      <c r="B20" s="11" t="s">
        <v>1358</v>
      </c>
      <c r="C20" s="11" t="s">
        <v>1359</v>
      </c>
      <c r="D20" s="11" t="s">
        <v>1307</v>
      </c>
      <c r="E20" s="11" t="s">
        <v>1360</v>
      </c>
      <c r="F20" s="11" t="s">
        <v>1361</v>
      </c>
      <c r="G20" s="11" t="s">
        <v>1362</v>
      </c>
      <c r="H20" s="11" t="s">
        <v>1363</v>
      </c>
    </row>
    <row r="21" ht="15" customHeight="1">
      <c r="A21" s="8" t="s">
        <v>1357</v>
      </c>
      <c r="B21" s="8" t="s">
        <v>1364</v>
      </c>
      <c r="C21" s="8" t="s">
        <v>1365</v>
      </c>
      <c r="D21" s="8" t="s">
        <v>1366</v>
      </c>
      <c r="E21" s="8" t="s">
        <v>1367</v>
      </c>
      <c r="F21" s="8" t="s">
        <v>1361</v>
      </c>
      <c r="G21" s="8" t="s">
        <v>1368</v>
      </c>
      <c r="H21" s="8" t="s">
        <v>1369</v>
      </c>
    </row>
    <row r="22" ht="15" customHeight="1">
      <c r="A22" s="8" t="s">
        <v>1357</v>
      </c>
      <c r="B22" s="8" t="s">
        <v>1370</v>
      </c>
      <c r="C22" s="8" t="s">
        <v>1371</v>
      </c>
      <c r="D22" s="8" t="s">
        <v>1372</v>
      </c>
      <c r="E22" s="8" t="s">
        <v>1373</v>
      </c>
      <c r="F22" s="8" t="s">
        <v>1374</v>
      </c>
      <c r="G22" s="8" t="s">
        <v>1375</v>
      </c>
      <c r="H22" s="8" t="s">
        <v>1376</v>
      </c>
    </row>
    <row r="23" ht="15" customHeight="1">
      <c r="A23" s="8" t="s">
        <v>1357</v>
      </c>
      <c r="B23" s="8" t="s">
        <v>1377</v>
      </c>
      <c r="C23" s="8" t="s">
        <v>667</v>
      </c>
      <c r="D23" s="8" t="s">
        <v>1265</v>
      </c>
      <c r="E23" s="8" t="s">
        <v>1378</v>
      </c>
      <c r="F23" s="8" t="s">
        <v>1309</v>
      </c>
      <c r="G23" s="8" t="s">
        <v>1379</v>
      </c>
      <c r="H23" s="8" t="s">
        <v>1380</v>
      </c>
    </row>
    <row r="24" ht="15" customHeight="1">
      <c r="A24" s="11" t="s">
        <v>1381</v>
      </c>
      <c r="B24" s="11" t="s">
        <v>1382</v>
      </c>
      <c r="C24" s="11" t="s">
        <v>1383</v>
      </c>
      <c r="D24" s="11" t="s">
        <v>1384</v>
      </c>
      <c r="E24" s="11" t="s">
        <v>1385</v>
      </c>
      <c r="F24" s="11" t="s">
        <v>1386</v>
      </c>
      <c r="G24" s="11" t="s">
        <v>1387</v>
      </c>
      <c r="H24" s="11" t="s">
        <v>1388</v>
      </c>
    </row>
    <row r="25" ht="15" customHeight="1">
      <c r="A25" s="8" t="s">
        <v>1381</v>
      </c>
      <c r="B25" s="8" t="s">
        <v>1389</v>
      </c>
      <c r="C25" s="8" t="s">
        <v>1390</v>
      </c>
      <c r="D25" s="8" t="s">
        <v>1391</v>
      </c>
      <c r="E25" s="8" t="s">
        <v>1392</v>
      </c>
      <c r="F25" s="8" t="s">
        <v>1386</v>
      </c>
      <c r="G25" s="8" t="s">
        <v>1393</v>
      </c>
      <c r="H25" s="8" t="s">
        <v>1388</v>
      </c>
    </row>
    <row r="26" ht="15" customHeight="1">
      <c r="A26" s="8" t="s">
        <v>1381</v>
      </c>
      <c r="B26" s="8" t="s">
        <v>1394</v>
      </c>
      <c r="C26" s="8" t="s">
        <v>1395</v>
      </c>
      <c r="D26" s="8" t="s">
        <v>1252</v>
      </c>
      <c r="E26" s="8" t="s">
        <v>1396</v>
      </c>
      <c r="F26" s="8" t="s">
        <v>1386</v>
      </c>
      <c r="G26" s="8" t="s">
        <v>1397</v>
      </c>
      <c r="H26" s="8" t="s">
        <v>1388</v>
      </c>
    </row>
    <row r="27" ht="15" customHeight="1">
      <c r="A27" s="8" t="s">
        <v>1381</v>
      </c>
      <c r="B27" s="8" t="s">
        <v>1398</v>
      </c>
      <c r="C27" s="8" t="s">
        <v>1399</v>
      </c>
      <c r="D27" s="8" t="s">
        <v>1272</v>
      </c>
      <c r="E27" s="8" t="s">
        <v>1400</v>
      </c>
      <c r="F27" s="8" t="s">
        <v>1386</v>
      </c>
      <c r="G27" s="8" t="s">
        <v>1401</v>
      </c>
      <c r="H27" s="8" t="s">
        <v>1402</v>
      </c>
    </row>
    <row r="28" ht="15" customHeight="1">
      <c r="A28" s="8" t="s">
        <v>1381</v>
      </c>
      <c r="B28" s="8" t="s">
        <v>1403</v>
      </c>
      <c r="C28" s="8" t="s">
        <v>1404</v>
      </c>
      <c r="D28" s="8" t="s">
        <v>1258</v>
      </c>
      <c r="E28" s="8" t="s">
        <v>1405</v>
      </c>
      <c r="F28" s="8" t="s">
        <v>1361</v>
      </c>
      <c r="G28" s="8" t="s">
        <v>1406</v>
      </c>
      <c r="H28" s="8" t="s">
        <v>1407</v>
      </c>
    </row>
    <row r="29" ht="15" customHeight="1">
      <c r="A29" s="8" t="s">
        <v>1381</v>
      </c>
      <c r="B29" s="8" t="s">
        <v>1408</v>
      </c>
      <c r="C29" s="8" t="s">
        <v>1409</v>
      </c>
      <c r="D29" s="8" t="s">
        <v>1384</v>
      </c>
      <c r="E29" s="8" t="s">
        <v>1410</v>
      </c>
      <c r="F29" s="8" t="s">
        <v>1386</v>
      </c>
      <c r="G29" s="8" t="s">
        <v>1411</v>
      </c>
      <c r="H29" s="8" t="s">
        <v>1412</v>
      </c>
    </row>
    <row r="30" ht="15" customHeight="1">
      <c r="A30" s="8" t="s">
        <v>1381</v>
      </c>
      <c r="B30" s="8" t="s">
        <v>1413</v>
      </c>
      <c r="C30" s="8" t="s">
        <v>1414</v>
      </c>
      <c r="D30" s="8" t="s">
        <v>1252</v>
      </c>
      <c r="E30" s="8" t="s">
        <v>1415</v>
      </c>
      <c r="F30" s="8" t="s">
        <v>1386</v>
      </c>
      <c r="G30" s="8" t="s">
        <v>1416</v>
      </c>
      <c r="H30" s="8" t="s">
        <v>1417</v>
      </c>
    </row>
    <row r="31" ht="15" customHeight="1">
      <c r="A31" s="8" t="s">
        <v>1381</v>
      </c>
      <c r="B31" s="8" t="s">
        <v>1418</v>
      </c>
      <c r="C31" s="8" t="s">
        <v>1419</v>
      </c>
      <c r="D31" s="8" t="s">
        <v>1384</v>
      </c>
      <c r="E31" s="8" t="s">
        <v>1420</v>
      </c>
      <c r="F31" s="8" t="s">
        <v>1361</v>
      </c>
      <c r="G31" s="8" t="s">
        <v>1421</v>
      </c>
      <c r="H31" s="8" t="s">
        <v>1422</v>
      </c>
    </row>
  </sheetData>
  <mergeCells>
    <mergeCell ref="A1:H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1F5D93-FC56-F70D-5364-49D8FC1C2E03}" mc:Ignorable="x14ac xr xr2 xr3">
  <dimension ref="A1:GR1000"/>
  <sheetViews>
    <sheetView topLeftCell="A1" workbookViewId="0">
      <pane ySplit="3" topLeftCell="A6" activePane="bottomLeft" state="frozen"/>
      <selection pane="bottomLeft" activeCell="B31" sqref="B31"/>
    </sheetView>
  </sheetViews>
  <sheetFormatPr defaultRowHeight="15" defaultColWidth="8.8515625" customHeight="1"/>
  <cols>
    <col min="1" max="1" width="25.7109375" customWidth="1"/>
    <col min="2" max="2" width="17.140625" customWidth="1"/>
    <col min="3" max="3" width="11.421875" customWidth="1"/>
    <col min="4" max="4" width="17.140625" customWidth="1"/>
    <col min="5" max="5" width="28.57421875" customWidth="1"/>
    <col min="6" max="6" width="25.7109375" customWidth="1"/>
    <col min="7" max="7" width="35.7109375" customWidth="1"/>
    <col min="8" max="8" width="22.8515625" customWidth="1"/>
    <col min="9" max="9" width="35.7109375" customWidth="1"/>
  </cols>
  <sheetData>
    <row r="1" ht="22.5" customHeight="1">
      <c r="A1" s="9" t="s">
        <v>1423</v>
      </c>
    </row>
    <row r="3" ht="15" customHeight="1">
      <c r="A3" s="13" t="s">
        <v>187</v>
      </c>
      <c r="B3" s="13" t="s">
        <v>1424</v>
      </c>
      <c r="C3" s="13" t="s">
        <v>1425</v>
      </c>
      <c r="D3" s="13" t="s">
        <v>1426</v>
      </c>
      <c r="E3" s="13" t="s">
        <v>1427</v>
      </c>
      <c r="F3" s="13" t="s">
        <v>193</v>
      </c>
      <c r="G3" s="13" t="s">
        <v>1428</v>
      </c>
      <c r="H3" s="13" t="s">
        <v>1429</v>
      </c>
      <c r="I3" s="13" t="s">
        <v>1430</v>
      </c>
    </row>
    <row r="4" ht="15" customHeight="1">
      <c r="A4" s="8" t="s">
        <v>235</v>
      </c>
      <c r="B4" s="8" t="s">
        <v>1431</v>
      </c>
      <c r="C4" s="8">
        <v>1974</v>
      </c>
      <c r="D4" s="8" t="s">
        <v>1432</v>
      </c>
      <c r="E4" s="8" t="s">
        <v>1433</v>
      </c>
      <c r="F4" s="8" t="s">
        <v>239</v>
      </c>
      <c r="G4" s="8" t="s">
        <v>1434</v>
      </c>
      <c r="H4" s="8" t="s">
        <v>1435</v>
      </c>
      <c r="I4" s="22" t="s">
        <v>1436</v>
      </c>
    </row>
    <row r="5" ht="15" customHeight="1">
      <c r="A5" s="8" t="s">
        <v>859</v>
      </c>
      <c r="B5" s="8" t="s">
        <v>1431</v>
      </c>
      <c r="C5" s="8">
        <v>1973</v>
      </c>
      <c r="D5" s="8" t="s">
        <v>1437</v>
      </c>
      <c r="E5" s="8" t="s">
        <v>1438</v>
      </c>
      <c r="F5" s="8" t="s">
        <v>864</v>
      </c>
      <c r="G5" s="8" t="s">
        <v>1439</v>
      </c>
      <c r="H5" s="8" t="s">
        <v>1435</v>
      </c>
      <c r="I5" s="22" t="s">
        <v>1440</v>
      </c>
    </row>
    <row r="6" ht="15" customHeight="1">
      <c r="A6" s="8" t="s">
        <v>886</v>
      </c>
      <c r="B6" s="8" t="s">
        <v>1441</v>
      </c>
      <c r="C6" s="8">
        <v>1989</v>
      </c>
      <c r="D6" s="8" t="s">
        <v>1442</v>
      </c>
      <c r="E6" s="8" t="s">
        <v>1443</v>
      </c>
      <c r="F6" s="8" t="s">
        <v>220</v>
      </c>
      <c r="G6" s="8" t="s">
        <v>1444</v>
      </c>
      <c r="H6" s="8" t="s">
        <v>1435</v>
      </c>
      <c r="I6" s="22" t="s">
        <v>1445</v>
      </c>
    </row>
    <row r="7" ht="15" customHeight="1">
      <c r="A7" s="8" t="s">
        <v>328</v>
      </c>
      <c r="B7" s="8" t="s">
        <v>1431</v>
      </c>
      <c r="C7" s="8">
        <v>1969</v>
      </c>
      <c r="D7" s="8" t="s">
        <v>1432</v>
      </c>
      <c r="E7" s="8" t="s">
        <v>1446</v>
      </c>
      <c r="F7" s="8" t="s">
        <v>1447</v>
      </c>
      <c r="G7" s="8" t="s">
        <v>1448</v>
      </c>
      <c r="H7" s="8" t="s">
        <v>1435</v>
      </c>
      <c r="I7" s="22" t="s">
        <v>1449</v>
      </c>
    </row>
    <row r="8" ht="15" customHeight="1">
      <c r="A8" s="8" t="s">
        <v>298</v>
      </c>
      <c r="B8" s="8" t="s">
        <v>1431</v>
      </c>
      <c r="C8" s="8">
        <v>2001</v>
      </c>
      <c r="D8" s="8" t="s">
        <v>1432</v>
      </c>
      <c r="E8" s="8" t="s">
        <v>1450</v>
      </c>
      <c r="F8" s="8" t="s">
        <v>303</v>
      </c>
      <c r="G8" s="8" t="s">
        <v>1451</v>
      </c>
      <c r="H8" s="8" t="s">
        <v>1452</v>
      </c>
      <c r="I8" s="22" t="s">
        <v>1453</v>
      </c>
    </row>
    <row r="9" ht="15" customHeight="1">
      <c r="A9" s="8" t="s">
        <v>485</v>
      </c>
      <c r="B9" s="8" t="s">
        <v>1431</v>
      </c>
      <c r="C9" s="8">
        <v>2002</v>
      </c>
      <c r="D9" s="8" t="s">
        <v>1432</v>
      </c>
      <c r="E9" s="8" t="s">
        <v>1454</v>
      </c>
      <c r="F9" s="8" t="s">
        <v>303</v>
      </c>
      <c r="G9" s="8" t="s">
        <v>1451</v>
      </c>
      <c r="H9" s="8" t="s">
        <v>1455</v>
      </c>
      <c r="I9" s="22" t="s">
        <v>1456</v>
      </c>
    </row>
    <row r="10" ht="15" customHeight="1">
      <c r="A10" s="8" t="s">
        <v>498</v>
      </c>
      <c r="B10" s="8" t="s">
        <v>1431</v>
      </c>
      <c r="C10" s="8">
        <v>1972</v>
      </c>
      <c r="D10" s="8" t="s">
        <v>1432</v>
      </c>
      <c r="E10" s="8" t="s">
        <v>1457</v>
      </c>
      <c r="F10" s="8" t="s">
        <v>303</v>
      </c>
      <c r="G10" s="8" t="s">
        <v>1458</v>
      </c>
      <c r="H10" s="8" t="s">
        <v>1435</v>
      </c>
      <c r="I10" s="22" t="s">
        <v>1459</v>
      </c>
    </row>
    <row r="11" ht="15" customHeight="1">
      <c r="A11" s="8" t="s">
        <v>758</v>
      </c>
      <c r="B11" s="8" t="s">
        <v>1431</v>
      </c>
      <c r="C11" s="8">
        <v>1989</v>
      </c>
      <c r="D11" s="8" t="s">
        <v>1432</v>
      </c>
      <c r="E11" s="8" t="s">
        <v>1460</v>
      </c>
      <c r="F11" s="8" t="s">
        <v>332</v>
      </c>
      <c r="G11" s="8" t="s">
        <v>1461</v>
      </c>
      <c r="H11" s="8" t="s">
        <v>1435</v>
      </c>
      <c r="I11" s="22" t="s">
        <v>1462</v>
      </c>
    </row>
    <row r="12" ht="15" customHeight="1">
      <c r="A12" s="8" t="s">
        <v>770</v>
      </c>
      <c r="B12" s="8" t="s">
        <v>1463</v>
      </c>
      <c r="C12" s="8">
        <v>1975</v>
      </c>
      <c r="D12" s="8" t="s">
        <v>1432</v>
      </c>
      <c r="E12" s="8" t="s">
        <v>1464</v>
      </c>
      <c r="F12" s="8" t="s">
        <v>440</v>
      </c>
      <c r="G12" s="8" t="s">
        <v>1465</v>
      </c>
      <c r="H12" s="8" t="s">
        <v>1435</v>
      </c>
      <c r="I12" s="22" t="s">
        <v>1466</v>
      </c>
    </row>
    <row r="13" ht="15" customHeight="1">
      <c r="A13" s="8" t="s">
        <v>571</v>
      </c>
      <c r="B13" s="8" t="s">
        <v>1431</v>
      </c>
      <c r="C13" s="8">
        <v>2001</v>
      </c>
      <c r="D13" s="8" t="s">
        <v>1432</v>
      </c>
      <c r="E13" s="8" t="s">
        <v>1467</v>
      </c>
      <c r="F13" s="8" t="s">
        <v>303</v>
      </c>
      <c r="G13" s="8" t="s">
        <v>1451</v>
      </c>
      <c r="H13" s="8" t="s">
        <v>1435</v>
      </c>
      <c r="I13" s="22" t="s">
        <v>1468</v>
      </c>
    </row>
    <row r="14" ht="15" customHeight="1">
      <c r="A14" s="8" t="s">
        <v>534</v>
      </c>
      <c r="B14" s="8" t="s">
        <v>1469</v>
      </c>
      <c r="C14" s="8">
        <v>1978</v>
      </c>
      <c r="D14" s="8" t="s">
        <v>1432</v>
      </c>
      <c r="E14" s="8" t="s">
        <v>1470</v>
      </c>
      <c r="F14" s="8" t="s">
        <v>286</v>
      </c>
      <c r="G14" s="8" t="s">
        <v>1471</v>
      </c>
      <c r="H14" s="8" t="s">
        <v>1455</v>
      </c>
      <c r="I14" s="22" t="s">
        <v>1472</v>
      </c>
    </row>
    <row r="15" ht="15" customHeight="1">
      <c r="A15" s="8" t="s">
        <v>593</v>
      </c>
      <c r="B15" s="8" t="s">
        <v>1431</v>
      </c>
      <c r="C15" s="8">
        <v>1985</v>
      </c>
      <c r="D15" s="8" t="s">
        <v>1473</v>
      </c>
      <c r="E15" s="8" t="s">
        <v>1474</v>
      </c>
      <c r="F15" s="8" t="s">
        <v>303</v>
      </c>
      <c r="G15" s="8" t="s">
        <v>1475</v>
      </c>
      <c r="H15" s="8" t="s">
        <v>1455</v>
      </c>
      <c r="I15" s="22" t="s">
        <v>1476</v>
      </c>
    </row>
    <row r="16" ht="15" customHeight="1">
      <c r="A16" s="8" t="s">
        <v>667</v>
      </c>
      <c r="B16" s="8" t="s">
        <v>1431</v>
      </c>
      <c r="C16" s="8">
        <v>1984</v>
      </c>
      <c r="D16" s="8" t="s">
        <v>1477</v>
      </c>
      <c r="E16" s="8" t="s">
        <v>1478</v>
      </c>
      <c r="F16" s="8" t="s">
        <v>220</v>
      </c>
      <c r="G16" s="8" t="s">
        <v>1479</v>
      </c>
      <c r="H16" s="8" t="s">
        <v>1435</v>
      </c>
      <c r="I16" s="22" t="s">
        <v>1480</v>
      </c>
    </row>
    <row r="17" ht="15" customHeight="1">
      <c r="A17" s="8" t="s">
        <v>681</v>
      </c>
      <c r="B17" s="8" t="s">
        <v>1481</v>
      </c>
      <c r="C17" s="8">
        <v>1928</v>
      </c>
      <c r="D17" s="8" t="s">
        <v>1432</v>
      </c>
      <c r="E17" s="8" t="s">
        <v>1482</v>
      </c>
      <c r="F17" s="8" t="s">
        <v>1483</v>
      </c>
      <c r="G17" s="8" t="s">
        <v>1484</v>
      </c>
      <c r="H17" s="8" t="s">
        <v>1435</v>
      </c>
      <c r="I17" s="22" t="s">
        <v>1485</v>
      </c>
    </row>
    <row r="18" ht="15" customHeight="1">
      <c r="A18" s="8" t="s">
        <v>652</v>
      </c>
      <c r="B18" s="8" t="s">
        <v>1486</v>
      </c>
      <c r="C18" s="8">
        <v>2005</v>
      </c>
      <c r="D18" s="8" t="s">
        <v>1477</v>
      </c>
      <c r="E18" s="8" t="s">
        <v>1478</v>
      </c>
      <c r="F18" s="8" t="s">
        <v>440</v>
      </c>
      <c r="G18" s="8" t="s">
        <v>1475</v>
      </c>
      <c r="H18" s="8" t="s">
        <v>1435</v>
      </c>
      <c r="I18" s="22" t="s">
        <v>1487</v>
      </c>
    </row>
    <row r="19" ht="15" customHeight="1">
      <c r="A19" s="8" t="s">
        <v>694</v>
      </c>
      <c r="B19" s="8" t="s">
        <v>1431</v>
      </c>
      <c r="C19" s="8">
        <v>1994</v>
      </c>
      <c r="D19" s="8" t="s">
        <v>1473</v>
      </c>
      <c r="E19" s="8" t="s">
        <v>1488</v>
      </c>
      <c r="F19" s="8" t="s">
        <v>1458</v>
      </c>
      <c r="G19" s="8" t="s">
        <v>1489</v>
      </c>
      <c r="H19" s="8" t="s">
        <v>1455</v>
      </c>
      <c r="I19" s="22" t="s">
        <v>1490</v>
      </c>
    </row>
    <row r="20" ht="15" customHeight="1">
      <c r="A20" s="8" t="s">
        <v>281</v>
      </c>
      <c r="B20" s="8" t="s">
        <v>1491</v>
      </c>
      <c r="C20" s="8">
        <v>1983</v>
      </c>
      <c r="D20" s="8" t="s">
        <v>1432</v>
      </c>
      <c r="E20" s="8" t="s">
        <v>1492</v>
      </c>
      <c r="F20" s="8" t="s">
        <v>303</v>
      </c>
      <c r="G20" s="8" t="s">
        <v>1475</v>
      </c>
      <c r="H20" s="8" t="s">
        <v>1435</v>
      </c>
      <c r="I20" s="22" t="s">
        <v>1493</v>
      </c>
    </row>
    <row r="21" ht="15" customHeight="1">
      <c r="A21" s="8" t="s">
        <v>413</v>
      </c>
      <c r="B21" s="8" t="s">
        <v>1431</v>
      </c>
      <c r="C21" s="8">
        <v>1970</v>
      </c>
      <c r="D21" s="8" t="s">
        <v>1442</v>
      </c>
      <c r="E21" s="8" t="s">
        <v>1494</v>
      </c>
      <c r="F21" s="8" t="s">
        <v>220</v>
      </c>
      <c r="G21" s="8" t="s">
        <v>1495</v>
      </c>
      <c r="H21" s="8" t="s">
        <v>1496</v>
      </c>
      <c r="I21" s="22" t="s">
        <v>1497</v>
      </c>
    </row>
    <row r="22" ht="15" customHeight="1">
      <c r="A22" s="8" t="s">
        <v>474</v>
      </c>
      <c r="B22" s="8" t="s">
        <v>1431</v>
      </c>
      <c r="C22" s="8">
        <v>2010</v>
      </c>
      <c r="D22" s="8" t="s">
        <v>1498</v>
      </c>
      <c r="E22" s="8" t="s">
        <v>1499</v>
      </c>
      <c r="F22" s="8" t="s">
        <v>220</v>
      </c>
      <c r="G22" s="8" t="s">
        <v>1500</v>
      </c>
      <c r="H22" s="8" t="s">
        <v>1496</v>
      </c>
      <c r="I22" s="22" t="s">
        <v>1501</v>
      </c>
    </row>
    <row r="23" ht="15" customHeight="1">
      <c r="A23" s="8" t="s">
        <v>1502</v>
      </c>
      <c r="B23" s="8" t="s">
        <v>1431</v>
      </c>
      <c r="C23" s="8">
        <v>2019</v>
      </c>
      <c r="D23" s="8" t="s">
        <v>1498</v>
      </c>
      <c r="E23" s="8" t="s">
        <v>1503</v>
      </c>
      <c r="F23" s="8" t="s">
        <v>317</v>
      </c>
      <c r="G23" s="8" t="s">
        <v>1504</v>
      </c>
      <c r="H23" s="8" t="s">
        <v>1505</v>
      </c>
      <c r="I23" s="22" t="s">
        <v>1506</v>
      </c>
    </row>
    <row r="24" ht="15" customHeight="1">
      <c r="A24" s="8" t="s">
        <v>1507</v>
      </c>
      <c r="B24" s="8" t="s">
        <v>1431</v>
      </c>
      <c r="C24" s="8">
        <v>2010</v>
      </c>
      <c r="D24" s="8" t="s">
        <v>1508</v>
      </c>
      <c r="E24" s="8" t="s">
        <v>1509</v>
      </c>
      <c r="F24" s="8" t="s">
        <v>1510</v>
      </c>
      <c r="G24" s="8" t="s">
        <v>1489</v>
      </c>
      <c r="H24" s="8" t="s">
        <v>1496</v>
      </c>
      <c r="I24" s="22" t="s">
        <v>1511</v>
      </c>
    </row>
    <row r="25" ht="15" customHeight="1">
      <c r="A25" s="8" t="s">
        <v>401</v>
      </c>
      <c r="B25" s="8" t="s">
        <v>1512</v>
      </c>
      <c r="C25" s="8">
        <v>1971</v>
      </c>
      <c r="D25" s="8" t="s">
        <v>1442</v>
      </c>
      <c r="E25" s="8" t="s">
        <v>1513</v>
      </c>
      <c r="F25" s="8" t="s">
        <v>220</v>
      </c>
      <c r="G25" s="8" t="s">
        <v>1514</v>
      </c>
      <c r="H25" s="8" t="s">
        <v>1435</v>
      </c>
      <c r="I25" s="22" t="s">
        <v>1515</v>
      </c>
    </row>
    <row r="26" ht="15" customHeight="1">
      <c r="A26" s="8" t="s">
        <v>386</v>
      </c>
      <c r="B26" s="8" t="s">
        <v>1463</v>
      </c>
      <c r="C26" s="8">
        <v>2017</v>
      </c>
      <c r="D26" s="8" t="s">
        <v>1442</v>
      </c>
      <c r="E26" s="8" t="s">
        <v>1516</v>
      </c>
      <c r="F26" s="8" t="s">
        <v>286</v>
      </c>
      <c r="G26" s="8" t="s">
        <v>1517</v>
      </c>
      <c r="H26" s="8" t="s">
        <v>1518</v>
      </c>
      <c r="I26" s="22" t="s">
        <v>1519</v>
      </c>
    </row>
    <row r="27" ht="15" customHeight="1">
      <c r="A27" s="8" t="s">
        <v>344</v>
      </c>
      <c r="B27" s="8" t="s">
        <v>1431</v>
      </c>
      <c r="C27" s="8">
        <v>1966</v>
      </c>
      <c r="D27" s="8" t="s">
        <v>1473</v>
      </c>
      <c r="E27" s="8" t="s">
        <v>1520</v>
      </c>
      <c r="F27" s="8" t="s">
        <v>303</v>
      </c>
      <c r="G27" s="8" t="s">
        <v>1347</v>
      </c>
      <c r="H27" s="8" t="s">
        <v>1435</v>
      </c>
      <c r="I27" s="22" t="s">
        <v>1521</v>
      </c>
    </row>
    <row r="28" ht="15" customHeight="1">
      <c r="A28" s="8" t="s">
        <v>357</v>
      </c>
      <c r="B28" s="8" t="s">
        <v>1431</v>
      </c>
      <c r="C28" s="8">
        <v>1938</v>
      </c>
      <c r="D28" s="8" t="s">
        <v>1477</v>
      </c>
      <c r="E28" s="8" t="s">
        <v>1522</v>
      </c>
      <c r="F28" s="8" t="s">
        <v>361</v>
      </c>
      <c r="G28" s="8" t="s">
        <v>1523</v>
      </c>
      <c r="H28" s="8" t="s">
        <v>1524</v>
      </c>
      <c r="I28" s="22" t="s">
        <v>1525</v>
      </c>
    </row>
    <row r="29" ht="15" customHeight="1">
      <c r="A29" s="8" t="s">
        <v>719</v>
      </c>
      <c r="B29" s="8" t="s">
        <v>1463</v>
      </c>
      <c r="C29" s="8">
        <v>1947</v>
      </c>
      <c r="D29" s="8" t="s">
        <v>1432</v>
      </c>
      <c r="E29" s="8" t="s">
        <v>1526</v>
      </c>
      <c r="F29" s="8" t="s">
        <v>286</v>
      </c>
      <c r="G29" s="8" t="s">
        <v>1471</v>
      </c>
      <c r="H29" s="8" t="s">
        <v>1435</v>
      </c>
      <c r="I29" s="22" t="s">
        <v>1527</v>
      </c>
    </row>
    <row r="30" ht="15" customHeight="1">
      <c r="A30" s="8" t="s">
        <v>973</v>
      </c>
      <c r="B30" s="8" t="s">
        <v>1431</v>
      </c>
      <c r="C30" s="8">
        <v>1981</v>
      </c>
      <c r="D30" s="8" t="s">
        <v>1477</v>
      </c>
      <c r="E30" s="8" t="s">
        <v>1528</v>
      </c>
      <c r="F30" s="8" t="s">
        <v>286</v>
      </c>
      <c r="G30" s="8" t="s">
        <v>1471</v>
      </c>
      <c r="H30" s="8" t="s">
        <v>1435</v>
      </c>
      <c r="I30" s="22" t="s">
        <v>1529</v>
      </c>
    </row>
    <row r="31" ht="15" customHeight="1">
      <c r="A31" s="8" t="s">
        <v>998</v>
      </c>
      <c r="B31" s="8" t="s">
        <v>1530</v>
      </c>
      <c r="C31" s="8">
        <v>1928</v>
      </c>
      <c r="D31" s="8" t="s">
        <v>1432</v>
      </c>
      <c r="E31" s="8" t="s">
        <v>1531</v>
      </c>
      <c r="F31" s="8" t="s">
        <v>286</v>
      </c>
      <c r="G31" s="8" t="s">
        <v>1471</v>
      </c>
      <c r="H31" s="8" t="s">
        <v>1435</v>
      </c>
      <c r="I31" s="22" t="s">
        <v>1532</v>
      </c>
    </row>
    <row r="32" ht="15" customHeight="1">
      <c r="A32" s="8" t="s">
        <v>951</v>
      </c>
      <c r="B32" s="8" t="s">
        <v>1463</v>
      </c>
      <c r="C32" s="8">
        <v>2009</v>
      </c>
      <c r="D32" s="8" t="s">
        <v>1432</v>
      </c>
      <c r="E32" s="8" t="s">
        <v>1533</v>
      </c>
      <c r="F32" s="8" t="s">
        <v>286</v>
      </c>
      <c r="G32" s="8" t="s">
        <v>1471</v>
      </c>
      <c r="H32" s="8" t="s">
        <v>1435</v>
      </c>
      <c r="I32" s="22" t="s">
        <v>1534</v>
      </c>
    </row>
    <row r="33" ht="15" customHeight="1">
      <c r="A33" s="8" t="s">
        <v>1058</v>
      </c>
      <c r="B33" s="8" t="s">
        <v>1431</v>
      </c>
      <c r="C33" s="8">
        <v>1983</v>
      </c>
      <c r="D33" s="8" t="s">
        <v>1432</v>
      </c>
      <c r="E33" s="8" t="s">
        <v>1535</v>
      </c>
      <c r="F33" s="8" t="s">
        <v>1062</v>
      </c>
      <c r="G33" s="8" t="s">
        <v>1536</v>
      </c>
      <c r="H33" s="8" t="s">
        <v>1435</v>
      </c>
      <c r="I33" s="22" t="s">
        <v>1537</v>
      </c>
    </row>
    <row r="34" ht="15" customHeight="1">
      <c r="A34" s="8" t="s">
        <v>1072</v>
      </c>
      <c r="B34" s="8" t="s">
        <v>1481</v>
      </c>
      <c r="C34" s="8">
        <v>1884</v>
      </c>
      <c r="D34" s="8" t="s">
        <v>1432</v>
      </c>
      <c r="E34" s="8" t="s">
        <v>1538</v>
      </c>
      <c r="F34" s="8" t="s">
        <v>220</v>
      </c>
      <c r="G34" s="8" t="s">
        <v>1539</v>
      </c>
      <c r="H34" s="8" t="s">
        <v>1435</v>
      </c>
      <c r="I34" s="22" t="s">
        <v>1540</v>
      </c>
    </row>
    <row r="35" ht="15" customHeight="1">
      <c r="A35" s="8" t="s">
        <v>806</v>
      </c>
      <c r="B35" s="8" t="s">
        <v>1541</v>
      </c>
      <c r="C35" s="8">
        <v>2011</v>
      </c>
      <c r="D35" s="8" t="s">
        <v>1477</v>
      </c>
      <c r="E35" s="8" t="s">
        <v>1542</v>
      </c>
      <c r="F35" s="8" t="s">
        <v>810</v>
      </c>
      <c r="G35" s="8" t="s">
        <v>1475</v>
      </c>
      <c r="H35" s="8" t="s">
        <v>1435</v>
      </c>
      <c r="I35" s="22" t="s">
        <v>1543</v>
      </c>
    </row>
    <row r="36" ht="15" customHeight="1">
      <c r="A36" s="8" t="s">
        <v>783</v>
      </c>
      <c r="B36" s="8" t="s">
        <v>1541</v>
      </c>
      <c r="C36" s="8">
        <v>2007</v>
      </c>
      <c r="D36" s="8" t="s">
        <v>1473</v>
      </c>
      <c r="E36" s="8" t="s">
        <v>1544</v>
      </c>
      <c r="F36" s="8" t="s">
        <v>286</v>
      </c>
      <c r="G36" s="8" t="s">
        <v>1471</v>
      </c>
      <c r="H36" s="8" t="s">
        <v>1455</v>
      </c>
      <c r="I36" s="22" t="s">
        <v>1545</v>
      </c>
    </row>
    <row r="37" ht="15" customHeight="1">
      <c r="A37" s="8" t="s">
        <v>832</v>
      </c>
      <c r="B37" s="8" t="s">
        <v>1431</v>
      </c>
      <c r="C37" s="8">
        <v>2009</v>
      </c>
      <c r="D37" s="8" t="s">
        <v>1432</v>
      </c>
      <c r="E37" s="8" t="s">
        <v>1546</v>
      </c>
      <c r="F37" s="8" t="s">
        <v>317</v>
      </c>
      <c r="G37" s="8" t="s">
        <v>1471</v>
      </c>
      <c r="H37" s="8" t="s">
        <v>1455</v>
      </c>
      <c r="I37" s="22" t="s">
        <v>1547</v>
      </c>
    </row>
    <row r="38" ht="15" customHeight="1">
      <c r="A38" s="8" t="s">
        <v>1193</v>
      </c>
      <c r="B38" s="8" t="s">
        <v>1463</v>
      </c>
      <c r="C38" s="8">
        <v>1997</v>
      </c>
      <c r="D38" s="8" t="s">
        <v>1548</v>
      </c>
      <c r="E38" s="8" t="s">
        <v>1549</v>
      </c>
      <c r="F38" s="8" t="s">
        <v>1550</v>
      </c>
      <c r="G38" s="8" t="s">
        <v>1551</v>
      </c>
      <c r="H38" s="8" t="s">
        <v>1552</v>
      </c>
      <c r="I38" s="22" t="s">
        <v>1553</v>
      </c>
    </row>
    <row r="39" ht="15" customHeight="1">
      <c r="A39" s="8" t="s">
        <v>1121</v>
      </c>
      <c r="B39" s="8" t="s">
        <v>1431</v>
      </c>
      <c r="C39" s="8">
        <v>1973</v>
      </c>
      <c r="D39" s="8" t="s">
        <v>1477</v>
      </c>
      <c r="E39" s="8" t="s">
        <v>1554</v>
      </c>
      <c r="F39" s="8" t="s">
        <v>440</v>
      </c>
      <c r="G39" s="8" t="s">
        <v>1475</v>
      </c>
      <c r="H39" s="8" t="s">
        <v>1455</v>
      </c>
      <c r="I39" s="22" t="s">
        <v>1555</v>
      </c>
    </row>
  </sheetData>
  <mergeCells>
    <mergeCell ref="A1:I1"/>
  </mergeCells>
  <conditionalFormatting sqref="D4:D39">
    <cfRule type="containsText" dxfId="0" priority="4" operator="containsText" text="Ultra-Premium">
      <formula>NOT(ISERROR(SEARCH("Ultra-Premium",D4)))</formula>
    </cfRule>
  </conditionalFormatting>
  <conditionalFormatting sqref="D4:D39">
    <cfRule type="containsText" dxfId="1" priority="3" operator="containsText" text="Budget">
      <formula>NOT(ISERROR(SEARCH("Budget",D4)))</formula>
    </cfRule>
  </conditionalFormatting>
  <conditionalFormatting sqref="D4:D39">
    <cfRule type="beginsWith" dxfId="2" priority="2" operator="beginsWith" text="Premium">
      <formula>LEFT(D4,7) = "Premium"</formula>
    </cfRule>
  </conditionalFormatting>
  <conditionalFormatting sqref="D4:D39">
    <cfRule type="containsText" dxfId="3" priority="1" operator="containsText" text="Milieu">
      <formula>NOT(ISERROR(SEARCH("Milieu",D4)))</formula>
    </cfRule>
  </conditionalFormatting>
  <hyperlinks>
    <hyperlink ref="I4" r:id="rId1" display="osprey.com" tooltip="https://osprey.com"/>
    <hyperlink ref="I5" r:id="rId2" display="patagonia.com" tooltip="https://patagonia.com"/>
    <hyperlink ref="I6" r:id="rId3" display="arcteryx.com" tooltip="https://arcteryx.com"/>
    <hyperlink ref="I7" r:id="rId4" display="msrgear.com" tooltip="https://msrgear.com"/>
    <hyperlink ref="I8" r:id="rId5" display="bigagnes.com" tooltip="https://bigagnes.com"/>
    <hyperlink ref="I9" r:id="rId6" display="nemoequipment.com" tooltip="https://nemoequipment.com"/>
    <hyperlink ref="I10" r:id="rId7" display="thermarest.com" tooltip="https://thermarest.com"/>
    <hyperlink ref="I11" r:id="rId8" display="blackdiamondequipment.com" tooltip="https://blackdiamondequipment.com"/>
    <hyperlink ref="I12" r:id="rId9" display="petzl.com" tooltip="https://petzl.com"/>
    <hyperlink ref="I13" r:id="rId10" display="jetboil.com" tooltip="https://jetboil.com"/>
    <hyperlink ref="I14" r:id="rId11" display="sfreg.net/soto" tooltip="https://sfreg.net/soto"/>
    <hyperlink ref="I15" r:id="rId12" display="gsioutdoors.com" tooltip="https://gsioutdoors.com"/>
    <hyperlink ref="I16" r:id="rId13" display="sawyer.com" tooltip="https://sawyer.com"/>
    <hyperlink ref="I17" r:id="rId14" display="katadyn.com" tooltip="https://katadyn.com"/>
    <hyperlink ref="I18" r:id="rId15" display="lifestraw.com" tooltip="https://lifestraw.com"/>
    <hyperlink ref="I19" r:id="rId16" display="platy.com" tooltip="https://platy.com"/>
    <hyperlink ref="I20" r:id="rId17" display="seatosummit.com" tooltip="https://seatosummit.com"/>
    <hyperlink ref="I21" r:id="rId18" display="westernmountaineering.com" tooltip="https://westernmountaineering.com"/>
    <hyperlink ref="I22" r:id="rId19" display="enlightenedequipment.com" tooltip="https://enlightenedequipment.com"/>
    <hyperlink ref="I23" r:id="rId20" display="durstongear.com" tooltip="https://durstongear.com"/>
    <hyperlink ref="I24" r:id="rId21" display="zpacks.com" tooltip="https://zpacks.com"/>
    <hyperlink ref="I25" r:id="rId22" display="hilleberg.com" tooltip="https://hilleberg.com"/>
    <hyperlink ref="I26" r:id="rId23" display="samaya-equipment.com" tooltip="https://samaya-equipment.com"/>
    <hyperlink ref="I27" r:id="rId24" display="thenorthface.com" tooltip="https://thenorthface.com"/>
    <hyperlink ref="I28" r:id="rId25" display="rei.com" tooltip="https://rei.com"/>
    <hyperlink ref="I29" r:id="rId26" display="salomon.com" tooltip="https://salomon.com"/>
    <hyperlink ref="I30" r:id="rId27" display="merrell.com" tooltip="https://merrell.com"/>
    <hyperlink ref="I31" r:id="rId28" display="lasportiva.com" tooltip="https://lasportiva.com"/>
    <hyperlink ref="I32" r:id="rId29" display="hoka.com" tooltip="https://hoka.com"/>
    <hyperlink ref="I33" r:id="rId30" display="leatherman.com" tooltip="https://leatherman.com"/>
    <hyperlink ref="I34" r:id="rId31" display="victorinox.com" tooltip="https://victorinox.com"/>
    <hyperlink ref="I35" r:id="rId32" display="anker.com" tooltip="https://anker.com"/>
    <hyperlink ref="I36" r:id="rId33" display="nitecore.com" tooltip="https://nitecore.com"/>
    <hyperlink ref="I37" r:id="rId34" display="goalzero.com" tooltip="https://goalzero.com"/>
    <hyperlink ref="I38" r:id="rId35" display="decathlon.com" tooltip="https://decathlon.com"/>
    <hyperlink ref="I39" r:id="rId36" display="adventuremedicalkits.com" tooltip="https://adventuremedicalkits.co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AEA24BE-EF17-2FBF-7E8B-D59F6DAE0118}" mc:Ignorable="x14ac xr xr2 xr3">
  <dimension ref="A1:GR1000"/>
  <sheetViews>
    <sheetView topLeftCell="D1" workbookViewId="0">
      <pane ySplit="3" topLeftCell="A4" activePane="bottomLeft" state="frozen"/>
      <selection pane="bottomLeft" activeCell="B4" sqref="B4"/>
    </sheetView>
  </sheetViews>
  <sheetFormatPr defaultRowHeight="15" defaultColWidth="8.8515625" customHeight="1"/>
  <cols>
    <col min="1" max="1" width="22.8515625" customWidth="1"/>
    <col min="2" max="2" width="17.140625" customWidth="1"/>
    <col min="3" max="3" width="34.28125" customWidth="1"/>
    <col min="4" max="4" width="45.7109375" customWidth="1"/>
    <col min="5" max="5" width="20.57421875" customWidth="1"/>
    <col min="6" max="6" width="32.00390625" customWidth="1"/>
    <col min="7" max="7" width="40.00390625" customWidth="1"/>
  </cols>
  <sheetData>
    <row r="1" ht="26.25" customHeight="1">
      <c r="A1" s="9" t="s">
        <v>1556</v>
      </c>
    </row>
    <row r="3" ht="15" customHeight="1">
      <c r="A3" s="14" t="s">
        <v>1557</v>
      </c>
      <c r="B3" s="14" t="s">
        <v>1558</v>
      </c>
      <c r="C3" s="14" t="s">
        <v>1559</v>
      </c>
      <c r="D3" s="14" t="s">
        <v>1560</v>
      </c>
      <c r="E3" s="14" t="s">
        <v>1561</v>
      </c>
      <c r="F3" s="14" t="s">
        <v>1562</v>
      </c>
      <c r="G3" s="14" t="s">
        <v>1247</v>
      </c>
    </row>
    <row r="4" ht="15" customHeight="1">
      <c r="A4" s="23" t="s">
        <v>1214</v>
      </c>
      <c r="B4" s="23" t="s">
        <v>1563</v>
      </c>
      <c r="C4" s="23" t="s">
        <v>1564</v>
      </c>
      <c r="D4" s="23" t="s">
        <v>1565</v>
      </c>
      <c r="E4" s="23" t="s">
        <v>1566</v>
      </c>
      <c r="F4" s="24" t="s">
        <v>1567</v>
      </c>
      <c r="G4" s="23" t="s">
        <v>1568</v>
      </c>
    </row>
    <row r="5" ht="15" customHeight="1">
      <c r="A5" s="8" t="s">
        <v>1569</v>
      </c>
      <c r="B5" s="8" t="s">
        <v>1570</v>
      </c>
      <c r="C5" s="8" t="s">
        <v>1571</v>
      </c>
      <c r="D5" s="8" t="s">
        <v>1572</v>
      </c>
      <c r="E5" s="8" t="s">
        <v>1573</v>
      </c>
      <c r="F5" s="22" t="s">
        <v>1574</v>
      </c>
      <c r="G5" s="8" t="s">
        <v>1575</v>
      </c>
    </row>
    <row r="6" ht="15" customHeight="1">
      <c r="A6" s="23" t="s">
        <v>1576</v>
      </c>
      <c r="B6" s="23" t="s">
        <v>1570</v>
      </c>
      <c r="C6" s="23" t="s">
        <v>1577</v>
      </c>
      <c r="D6" s="23" t="s">
        <v>1578</v>
      </c>
      <c r="E6" s="23" t="s">
        <v>1573</v>
      </c>
      <c r="F6" s="24" t="s">
        <v>1579</v>
      </c>
      <c r="G6" s="23" t="s">
        <v>1580</v>
      </c>
    </row>
    <row r="7" ht="15" customHeight="1">
      <c r="A7" s="8" t="s">
        <v>1581</v>
      </c>
      <c r="B7" s="8" t="s">
        <v>1563</v>
      </c>
      <c r="C7" s="8" t="s">
        <v>1582</v>
      </c>
      <c r="D7" s="8" t="s">
        <v>1583</v>
      </c>
      <c r="E7" s="8" t="s">
        <v>1347</v>
      </c>
      <c r="F7" s="22" t="s">
        <v>1584</v>
      </c>
      <c r="G7" s="8" t="s">
        <v>1585</v>
      </c>
    </row>
    <row r="8" ht="15" customHeight="1">
      <c r="A8" s="23" t="s">
        <v>1586</v>
      </c>
      <c r="B8" s="23" t="s">
        <v>1587</v>
      </c>
      <c r="C8" s="23" t="s">
        <v>1588</v>
      </c>
      <c r="D8" s="23" t="s">
        <v>1589</v>
      </c>
      <c r="E8" s="23" t="s">
        <v>1590</v>
      </c>
      <c r="F8" s="24" t="s">
        <v>1591</v>
      </c>
      <c r="G8" s="23" t="s">
        <v>1592</v>
      </c>
    </row>
    <row r="9" ht="15" customHeight="1">
      <c r="A9" s="8" t="s">
        <v>1593</v>
      </c>
      <c r="B9" s="8" t="s">
        <v>1570</v>
      </c>
      <c r="C9" s="8" t="s">
        <v>1577</v>
      </c>
      <c r="D9" s="8" t="s">
        <v>1594</v>
      </c>
      <c r="E9" s="8" t="s">
        <v>1595</v>
      </c>
      <c r="F9" s="22" t="s">
        <v>1596</v>
      </c>
      <c r="G9" s="8" t="s">
        <v>1597</v>
      </c>
    </row>
    <row r="10" ht="15" customHeight="1">
      <c r="A10" s="23" t="s">
        <v>1598</v>
      </c>
      <c r="B10" s="23" t="s">
        <v>1599</v>
      </c>
      <c r="C10" s="23" t="s">
        <v>1463</v>
      </c>
      <c r="D10" s="23" t="s">
        <v>1600</v>
      </c>
      <c r="E10" s="23" t="s">
        <v>1347</v>
      </c>
      <c r="F10" s="24" t="s">
        <v>1601</v>
      </c>
      <c r="G10" s="23" t="s">
        <v>1602</v>
      </c>
    </row>
    <row r="11" ht="15" customHeight="1">
      <c r="A11" s="8" t="s">
        <v>1603</v>
      </c>
      <c r="B11" s="8" t="s">
        <v>1604</v>
      </c>
      <c r="C11" s="8" t="s">
        <v>1463</v>
      </c>
      <c r="D11" s="8" t="s">
        <v>1605</v>
      </c>
      <c r="E11" s="8" t="s">
        <v>1606</v>
      </c>
      <c r="F11" s="22" t="s">
        <v>1607</v>
      </c>
      <c r="G11" s="8" t="s">
        <v>1608</v>
      </c>
    </row>
    <row r="12" ht="15" customHeight="1">
      <c r="A12" s="23" t="s">
        <v>1609</v>
      </c>
      <c r="B12" s="23" t="s">
        <v>1563</v>
      </c>
      <c r="C12" s="23" t="s">
        <v>1463</v>
      </c>
      <c r="D12" s="23" t="s">
        <v>1583</v>
      </c>
      <c r="E12" s="23" t="s">
        <v>1347</v>
      </c>
      <c r="F12" s="24" t="s">
        <v>1610</v>
      </c>
      <c r="G12" s="23" t="s">
        <v>1611</v>
      </c>
    </row>
    <row r="13" ht="15" customHeight="1">
      <c r="A13" s="8" t="s">
        <v>1612</v>
      </c>
      <c r="B13" s="8" t="s">
        <v>1613</v>
      </c>
      <c r="C13" s="8" t="s">
        <v>1577</v>
      </c>
      <c r="D13" s="8" t="s">
        <v>1589</v>
      </c>
      <c r="E13" s="8" t="s">
        <v>1614</v>
      </c>
      <c r="F13" s="22" t="s">
        <v>1615</v>
      </c>
      <c r="G13" s="8" t="s">
        <v>1616</v>
      </c>
    </row>
    <row r="14" ht="15" customHeight="1">
      <c r="A14" s="23" t="s">
        <v>1617</v>
      </c>
      <c r="B14" s="23" t="s">
        <v>1618</v>
      </c>
      <c r="C14" s="23" t="s">
        <v>1577</v>
      </c>
      <c r="D14" s="23" t="s">
        <v>1619</v>
      </c>
      <c r="E14" s="23" t="s">
        <v>1566</v>
      </c>
      <c r="F14" s="24" t="s">
        <v>1620</v>
      </c>
      <c r="G14" s="23" t="s">
        <v>1621</v>
      </c>
    </row>
    <row r="15" ht="15" customHeight="1">
      <c r="A15" s="8" t="s">
        <v>357</v>
      </c>
      <c r="B15" s="8" t="s">
        <v>1563</v>
      </c>
      <c r="C15" s="8" t="s">
        <v>1622</v>
      </c>
      <c r="D15" s="8" t="s">
        <v>1623</v>
      </c>
      <c r="E15" s="8" t="s">
        <v>1347</v>
      </c>
      <c r="F15" s="22" t="s">
        <v>1525</v>
      </c>
      <c r="G15" s="8" t="s">
        <v>1624</v>
      </c>
    </row>
    <row r="16" ht="15" customHeight="1">
      <c r="A16" s="23" t="s">
        <v>1625</v>
      </c>
      <c r="B16" s="23" t="s">
        <v>1570</v>
      </c>
      <c r="C16" s="23" t="s">
        <v>1626</v>
      </c>
      <c r="D16" s="23" t="s">
        <v>1627</v>
      </c>
      <c r="E16" s="23" t="s">
        <v>1347</v>
      </c>
      <c r="F16" s="24" t="s">
        <v>1628</v>
      </c>
      <c r="G16" s="23" t="s">
        <v>1629</v>
      </c>
    </row>
    <row r="17" ht="15" customHeight="1">
      <c r="A17" s="8" t="s">
        <v>1630</v>
      </c>
      <c r="B17" s="8" t="s">
        <v>1631</v>
      </c>
      <c r="C17" s="8" t="s">
        <v>1431</v>
      </c>
      <c r="D17" s="8" t="s">
        <v>1632</v>
      </c>
      <c r="E17" s="8" t="s">
        <v>1347</v>
      </c>
      <c r="F17" s="22" t="s">
        <v>1633</v>
      </c>
      <c r="G17" s="8" t="s">
        <v>1634</v>
      </c>
    </row>
    <row r="18" ht="15" customHeight="1">
      <c r="A18" s="23" t="s">
        <v>1635</v>
      </c>
      <c r="B18" s="23" t="s">
        <v>1587</v>
      </c>
      <c r="C18" s="23" t="s">
        <v>1431</v>
      </c>
      <c r="D18" s="23" t="s">
        <v>1636</v>
      </c>
      <c r="E18" s="23" t="s">
        <v>1347</v>
      </c>
      <c r="F18" s="24" t="s">
        <v>1637</v>
      </c>
      <c r="G18" s="23" t="s">
        <v>1638</v>
      </c>
    </row>
    <row r="19" ht="15" customHeight="1">
      <c r="A19" s="8" t="s">
        <v>1639</v>
      </c>
      <c r="B19" s="8" t="s">
        <v>1613</v>
      </c>
      <c r="C19" s="8" t="s">
        <v>1640</v>
      </c>
      <c r="D19" s="8" t="s">
        <v>1589</v>
      </c>
      <c r="E19" s="8" t="s">
        <v>1347</v>
      </c>
      <c r="F19" s="22" t="s">
        <v>1641</v>
      </c>
      <c r="G19" s="8" t="s">
        <v>1642</v>
      </c>
    </row>
    <row r="20" ht="15" customHeight="1">
      <c r="A20" s="23" t="s">
        <v>1643</v>
      </c>
      <c r="B20" s="23" t="s">
        <v>1644</v>
      </c>
      <c r="C20" s="23" t="s">
        <v>1626</v>
      </c>
      <c r="D20" s="23" t="s">
        <v>1645</v>
      </c>
      <c r="E20" s="23" t="s">
        <v>1347</v>
      </c>
      <c r="F20" s="24" t="s">
        <v>1646</v>
      </c>
      <c r="G20" s="23" t="s">
        <v>1647</v>
      </c>
    </row>
    <row r="21" ht="15" customHeight="1">
      <c r="A21" s="8" t="s">
        <v>1648</v>
      </c>
      <c r="B21" s="8" t="s">
        <v>1649</v>
      </c>
      <c r="C21" s="8" t="s">
        <v>1588</v>
      </c>
      <c r="D21" s="8" t="s">
        <v>1648</v>
      </c>
      <c r="E21" s="8" t="s">
        <v>1347</v>
      </c>
      <c r="F21" s="22" t="s">
        <v>1650</v>
      </c>
      <c r="G21" s="8" t="s">
        <v>1651</v>
      </c>
    </row>
    <row r="22" ht="15" customHeight="1">
      <c r="A22" s="23" t="s">
        <v>1652</v>
      </c>
      <c r="B22" s="23" t="s">
        <v>1649</v>
      </c>
      <c r="C22" s="23" t="s">
        <v>1588</v>
      </c>
      <c r="D22" s="23" t="s">
        <v>859</v>
      </c>
      <c r="E22" s="23" t="s">
        <v>1347</v>
      </c>
      <c r="F22" s="24" t="s">
        <v>1440</v>
      </c>
      <c r="G22" s="23" t="s">
        <v>1653</v>
      </c>
    </row>
    <row r="23" ht="15" customHeight="1">
      <c r="A23" s="8" t="s">
        <v>1654</v>
      </c>
      <c r="B23" s="8" t="s">
        <v>1649</v>
      </c>
      <c r="C23" s="8" t="s">
        <v>1588</v>
      </c>
      <c r="D23" s="8" t="s">
        <v>235</v>
      </c>
      <c r="E23" s="8" t="s">
        <v>1347</v>
      </c>
      <c r="F23" s="22" t="s">
        <v>1436</v>
      </c>
      <c r="G23" s="8" t="s">
        <v>1655</v>
      </c>
    </row>
    <row r="24" ht="15" customHeight="1">
      <c r="A24" s="23" t="s">
        <v>1656</v>
      </c>
      <c r="B24" s="23" t="s">
        <v>1649</v>
      </c>
      <c r="C24" s="23" t="s">
        <v>1588</v>
      </c>
      <c r="D24" s="23" t="s">
        <v>1657</v>
      </c>
      <c r="E24" s="23" t="s">
        <v>1347</v>
      </c>
      <c r="F24" s="24" t="s">
        <v>1449</v>
      </c>
      <c r="G24" s="23" t="s">
        <v>1658</v>
      </c>
    </row>
    <row r="25" ht="15" customHeight="1">
      <c r="A25" s="8" t="s">
        <v>758</v>
      </c>
      <c r="B25" s="8" t="s">
        <v>1649</v>
      </c>
      <c r="C25" s="8" t="s">
        <v>1588</v>
      </c>
      <c r="D25" s="8" t="s">
        <v>758</v>
      </c>
      <c r="E25" s="8" t="s">
        <v>1347</v>
      </c>
      <c r="F25" s="22" t="s">
        <v>1462</v>
      </c>
      <c r="G25" s="8" t="s">
        <v>1659</v>
      </c>
    </row>
    <row r="26" ht="15" customHeight="1">
      <c r="A26" s="23" t="s">
        <v>1660</v>
      </c>
      <c r="B26" s="23" t="s">
        <v>1563</v>
      </c>
      <c r="C26" s="23" t="s">
        <v>1661</v>
      </c>
      <c r="D26" s="23" t="s">
        <v>1662</v>
      </c>
      <c r="E26" s="23" t="s">
        <v>1313</v>
      </c>
      <c r="F26" s="24" t="s">
        <v>1663</v>
      </c>
      <c r="G26" s="23" t="s">
        <v>1664</v>
      </c>
    </row>
    <row r="27" ht="15" customHeight="1">
      <c r="A27" s="8" t="s">
        <v>1665</v>
      </c>
      <c r="B27" s="8" t="s">
        <v>1563</v>
      </c>
      <c r="C27" s="8" t="s">
        <v>1491</v>
      </c>
      <c r="D27" s="8" t="s">
        <v>1589</v>
      </c>
      <c r="E27" s="8" t="s">
        <v>1313</v>
      </c>
      <c r="F27" s="22" t="s">
        <v>1666</v>
      </c>
      <c r="G27" s="8" t="s">
        <v>1667</v>
      </c>
    </row>
    <row r="28" ht="15" customHeight="1">
      <c r="A28" s="23" t="s">
        <v>1668</v>
      </c>
      <c r="B28" s="23" t="s">
        <v>1563</v>
      </c>
      <c r="C28" s="23" t="s">
        <v>1669</v>
      </c>
      <c r="D28" s="23" t="s">
        <v>1670</v>
      </c>
      <c r="E28" s="23" t="s">
        <v>1313</v>
      </c>
      <c r="F28" s="24" t="s">
        <v>1671</v>
      </c>
      <c r="G28" s="23" t="s">
        <v>1672</v>
      </c>
    </row>
  </sheetData>
  <mergeCells>
    <mergeCell ref="A1:G1"/>
  </mergeCells>
  <hyperlinks>
    <hyperlink ref="F4" r:id="rId1" display="decathlon.fr" tooltip="https://www.decathlon.fr"/>
    <hyperlink ref="F5" r:id="rId2" display="snowleader.com" tooltip="https://www.snowleader.com"/>
    <hyperlink ref="F6" r:id="rId3" display="hardloop.fr" tooltip="https://www.hardloop.fr"/>
    <hyperlink ref="F7" r:id="rId4" display="globetrotter.de" tooltip="https://www.globetrotter.de"/>
    <hyperlink ref="F8" r:id="rId5" display="trekkinn.com" tooltip="https://www.trekkinn.com"/>
    <hyperlink ref="F9" r:id="rId6" display="alpinstore.com" tooltip="https://www.alpinstore.com"/>
    <hyperlink ref="F10" r:id="rId7" display="i-trekkings.net" tooltip="https://www.i-trekkings.net"/>
    <hyperlink ref="F11" r:id="rId8" display="sacados.com" tooltip="https://www.sacados.com"/>
    <hyperlink ref="F12" r:id="rId9" display="auvieuxcampeur.fr" tooltip="https://www.auvieuxcampeur.fr"/>
    <hyperlink ref="F13" r:id="rId10" display="amazon.fr" tooltip="https://www.amazon.fr"/>
    <hyperlink ref="F14" r:id="rId11" display="alltricks.fr" tooltip="https://www.alltricks.fr"/>
    <hyperlink ref="F15" r:id="rId12" display="rei.com" tooltip="https://www.rei.com"/>
    <hyperlink ref="F16" r:id="rId13" display="backcountry.com" tooltip="https://www.backcountry.com"/>
    <hyperlink ref="F17" r:id="rId14" display="moosejaw.com" tooltip="https://www.moosejaw.com"/>
    <hyperlink ref="F18" r:id="rId15" display="campsaver.com" tooltip="https://www.campsaver.com"/>
    <hyperlink ref="F19" r:id="rId16" display="amazon.com" tooltip="https://www.amazon.com"/>
    <hyperlink ref="F20" r:id="rId17" display="garagegrowngear.com" tooltip="https://www.garagegrowngear.com"/>
    <hyperlink ref="F21" r:id="rId18" display="outdoorresearch.com" tooltip="https://www.outdoorresearch.com"/>
    <hyperlink ref="F22" r:id="rId19" display="patagonia.com" tooltip="https://www.patagonia.com"/>
    <hyperlink ref="F23" r:id="rId20" display="osprey.com" tooltip="https://www.osprey.com"/>
    <hyperlink ref="F24" r:id="rId21" display="msrgear.com" tooltip="https://www.msrgear.com"/>
    <hyperlink ref="F25" r:id="rId22" display="blackdiamondequipment.com" tooltip="https://www.blackdiamondequipment.com"/>
    <hyperlink ref="F26" r:id="rId23" display="macpac.com.au" tooltip="https://www.macpac.com.au"/>
    <hyperlink ref="F27" r:id="rId24" display="paddypallin.com.au" tooltip="https://www.paddypallin.com.au"/>
    <hyperlink ref="F28" r:id="rId25" display="montbell.jp" tooltip="https://www.montbell.jp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4E43DFF-0806-B886-5D64-9DFF8F8BD9DA}" mc:Ignorable="x14ac xr xr2 xr3">
  <dimension ref="A1:GR1000"/>
  <sheetViews>
    <sheetView topLeftCell="F1" workbookViewId="0">
      <pane ySplit="3" topLeftCell="A4" activePane="bottomLeft" state="frozen"/>
      <selection pane="bottomLeft" activeCell="F4" sqref="F4"/>
    </sheetView>
  </sheetViews>
  <sheetFormatPr defaultRowHeight="15" defaultColWidth="8.8515625" customHeight="1"/>
  <cols>
    <col min="1" max="1" width="14.28125" customWidth="1"/>
    <col min="2" max="2" width="30.00390625" customWidth="1"/>
    <col min="3" max="3" width="37.140625" customWidth="1"/>
    <col min="4" max="4" width="21.421875" customWidth="1"/>
    <col min="5" max="5" width="42.8515625" customWidth="1"/>
    <col min="6" max="6" width="37.140625" customWidth="1"/>
  </cols>
  <sheetData>
    <row r="1" ht="26.25" customHeight="1">
      <c r="A1" s="25" t="s">
        <v>1673</v>
      </c>
    </row>
    <row r="3" ht="18.75" customHeight="1">
      <c r="A3" s="26" t="s">
        <v>28</v>
      </c>
      <c r="B3" s="26" t="s">
        <v>1674</v>
      </c>
      <c r="C3" s="26" t="s">
        <v>1675</v>
      </c>
      <c r="D3" s="26" t="s">
        <v>1676</v>
      </c>
      <c r="E3" s="26" t="s">
        <v>1247</v>
      </c>
      <c r="F3" s="26" t="s">
        <v>1677</v>
      </c>
    </row>
    <row r="4" ht="15" customHeight="1">
      <c r="A4" s="27" t="s">
        <v>1470</v>
      </c>
      <c r="B4" s="27" t="s">
        <v>1678</v>
      </c>
      <c r="C4" s="27" t="s">
        <v>1679</v>
      </c>
      <c r="D4" s="27" t="s">
        <v>1680</v>
      </c>
      <c r="E4" s="27" t="s">
        <v>1681</v>
      </c>
      <c r="F4" s="28" t="s">
        <v>1682</v>
      </c>
    </row>
    <row r="5" ht="15" customHeight="1">
      <c r="A5" s="27" t="s">
        <v>1470</v>
      </c>
      <c r="B5" s="27" t="s">
        <v>1683</v>
      </c>
      <c r="C5" s="27" t="s">
        <v>1684</v>
      </c>
      <c r="D5" s="27" t="s">
        <v>1680</v>
      </c>
      <c r="E5" s="27" t="s">
        <v>1685</v>
      </c>
      <c r="F5" s="28" t="s">
        <v>1686</v>
      </c>
    </row>
    <row r="6" ht="15" customHeight="1">
      <c r="A6" s="27" t="s">
        <v>1470</v>
      </c>
      <c r="B6" s="27" t="s">
        <v>1687</v>
      </c>
      <c r="C6" s="27" t="s">
        <v>1688</v>
      </c>
      <c r="D6" s="27" t="s">
        <v>1689</v>
      </c>
      <c r="E6" s="27" t="s">
        <v>1690</v>
      </c>
      <c r="F6" s="28" t="s">
        <v>1691</v>
      </c>
    </row>
    <row r="7" ht="15" customHeight="1">
      <c r="A7" s="27" t="s">
        <v>1470</v>
      </c>
      <c r="B7" s="27" t="s">
        <v>1692</v>
      </c>
      <c r="C7" s="27" t="s">
        <v>1693</v>
      </c>
      <c r="D7" s="27" t="s">
        <v>1694</v>
      </c>
      <c r="E7" s="27" t="s">
        <v>1695</v>
      </c>
      <c r="F7" s="28" t="s">
        <v>1696</v>
      </c>
    </row>
    <row r="8" ht="15" customHeight="1">
      <c r="A8" s="27" t="s">
        <v>1470</v>
      </c>
      <c r="B8" s="27" t="s">
        <v>1697</v>
      </c>
      <c r="C8" s="27" t="s">
        <v>1684</v>
      </c>
      <c r="D8" s="27" t="s">
        <v>1680</v>
      </c>
      <c r="E8" s="27" t="s">
        <v>1698</v>
      </c>
      <c r="F8" s="28" t="s">
        <v>1699</v>
      </c>
    </row>
    <row r="9" ht="15" customHeight="1">
      <c r="A9" s="27" t="s">
        <v>1700</v>
      </c>
      <c r="B9" s="27" t="s">
        <v>1701</v>
      </c>
      <c r="C9" s="27" t="s">
        <v>1702</v>
      </c>
      <c r="D9" s="27" t="s">
        <v>1703</v>
      </c>
      <c r="E9" s="27" t="s">
        <v>1704</v>
      </c>
      <c r="F9" s="28" t="s">
        <v>1705</v>
      </c>
    </row>
    <row r="10" ht="15" customHeight="1">
      <c r="A10" s="27" t="s">
        <v>1700</v>
      </c>
      <c r="B10" s="27" t="s">
        <v>1706</v>
      </c>
      <c r="C10" s="27" t="s">
        <v>1707</v>
      </c>
      <c r="D10" s="27" t="s">
        <v>1708</v>
      </c>
      <c r="E10" s="27" t="s">
        <v>1709</v>
      </c>
      <c r="F10" s="28" t="s">
        <v>1710</v>
      </c>
    </row>
    <row r="11" ht="15" customHeight="1">
      <c r="A11" s="27" t="s">
        <v>1700</v>
      </c>
      <c r="B11" s="27" t="s">
        <v>1711</v>
      </c>
      <c r="C11" s="27" t="s">
        <v>1712</v>
      </c>
      <c r="D11" s="27" t="s">
        <v>1703</v>
      </c>
      <c r="E11" s="27" t="s">
        <v>1713</v>
      </c>
      <c r="F11" s="28" t="s">
        <v>1714</v>
      </c>
    </row>
    <row r="12" ht="15" customHeight="1">
      <c r="A12" s="27" t="s">
        <v>1715</v>
      </c>
      <c r="B12" s="27" t="s">
        <v>1716</v>
      </c>
      <c r="C12" s="27" t="s">
        <v>1717</v>
      </c>
      <c r="D12" s="27" t="s">
        <v>1718</v>
      </c>
      <c r="E12" s="27" t="s">
        <v>1719</v>
      </c>
      <c r="F12" s="28" t="s">
        <v>1720</v>
      </c>
    </row>
    <row r="13" ht="15" customHeight="1">
      <c r="A13" s="27" t="s">
        <v>1715</v>
      </c>
      <c r="B13" s="27" t="s">
        <v>1721</v>
      </c>
      <c r="C13" s="27" t="s">
        <v>1722</v>
      </c>
      <c r="D13" s="27" t="s">
        <v>1723</v>
      </c>
      <c r="E13" s="27" t="s">
        <v>1724</v>
      </c>
      <c r="F13" s="28" t="s">
        <v>1725</v>
      </c>
    </row>
    <row r="14" ht="15" customHeight="1">
      <c r="A14" s="27" t="s">
        <v>1715</v>
      </c>
      <c r="B14" s="27" t="s">
        <v>1726</v>
      </c>
      <c r="C14" s="27" t="s">
        <v>1727</v>
      </c>
      <c r="D14" s="27" t="s">
        <v>1689</v>
      </c>
      <c r="E14" s="27" t="s">
        <v>1728</v>
      </c>
      <c r="F14" s="28" t="s">
        <v>1729</v>
      </c>
    </row>
    <row r="15" ht="15" customHeight="1">
      <c r="A15" s="27" t="s">
        <v>1715</v>
      </c>
      <c r="B15" s="27" t="s">
        <v>1730</v>
      </c>
      <c r="C15" s="27" t="s">
        <v>1731</v>
      </c>
      <c r="D15" s="27" t="s">
        <v>1689</v>
      </c>
      <c r="E15" s="27" t="s">
        <v>1732</v>
      </c>
      <c r="F15" s="28" t="s">
        <v>1733</v>
      </c>
    </row>
    <row r="16" ht="15" customHeight="1">
      <c r="A16" s="27" t="s">
        <v>1734</v>
      </c>
      <c r="B16" s="27" t="s">
        <v>1735</v>
      </c>
      <c r="C16" s="27" t="s">
        <v>1736</v>
      </c>
      <c r="D16" s="27" t="s">
        <v>1737</v>
      </c>
      <c r="E16" s="27" t="s">
        <v>1738</v>
      </c>
      <c r="F16" s="28" t="s">
        <v>1739</v>
      </c>
    </row>
    <row r="17" ht="15" customHeight="1">
      <c r="A17" s="27" t="s">
        <v>1734</v>
      </c>
      <c r="B17" s="27" t="s">
        <v>1740</v>
      </c>
      <c r="C17" s="27" t="s">
        <v>1741</v>
      </c>
      <c r="D17" s="27" t="s">
        <v>1737</v>
      </c>
      <c r="E17" s="27" t="s">
        <v>1742</v>
      </c>
      <c r="F17" s="28" t="s">
        <v>1743</v>
      </c>
    </row>
    <row r="18" ht="15" customHeight="1">
      <c r="A18" s="27" t="s">
        <v>1734</v>
      </c>
      <c r="B18" s="27" t="s">
        <v>1744</v>
      </c>
      <c r="C18" s="27" t="s">
        <v>1745</v>
      </c>
      <c r="D18" s="27" t="s">
        <v>1746</v>
      </c>
      <c r="E18" s="27" t="s">
        <v>1747</v>
      </c>
      <c r="F18" s="28" t="s">
        <v>1748</v>
      </c>
    </row>
    <row r="19" ht="15" customHeight="1">
      <c r="A19" s="27" t="s">
        <v>1734</v>
      </c>
      <c r="B19" s="27" t="s">
        <v>1749</v>
      </c>
      <c r="C19" s="27" t="s">
        <v>1750</v>
      </c>
      <c r="D19" s="27" t="s">
        <v>1751</v>
      </c>
      <c r="E19" s="27" t="s">
        <v>1752</v>
      </c>
      <c r="F19" s="28" t="s">
        <v>1753</v>
      </c>
    </row>
    <row r="20" ht="15" customHeight="1">
      <c r="A20" s="27" t="s">
        <v>1754</v>
      </c>
      <c r="B20" s="27" t="s">
        <v>1755</v>
      </c>
      <c r="C20" s="27" t="s">
        <v>1756</v>
      </c>
      <c r="D20" s="27" t="s">
        <v>1757</v>
      </c>
      <c r="E20" s="27" t="s">
        <v>1758</v>
      </c>
      <c r="F20" s="28" t="s">
        <v>1759</v>
      </c>
    </row>
    <row r="21" ht="15" customHeight="1">
      <c r="A21" s="27" t="s">
        <v>1754</v>
      </c>
      <c r="B21" s="27" t="s">
        <v>1760</v>
      </c>
      <c r="C21" s="27" t="s">
        <v>1761</v>
      </c>
      <c r="D21" s="27" t="s">
        <v>1762</v>
      </c>
      <c r="E21" s="27" t="s">
        <v>1763</v>
      </c>
      <c r="F21" s="28" t="s">
        <v>1764</v>
      </c>
    </row>
    <row r="22" ht="15" customHeight="1">
      <c r="A22" s="27" t="s">
        <v>1754</v>
      </c>
      <c r="B22" s="27" t="s">
        <v>1765</v>
      </c>
      <c r="C22" s="27" t="s">
        <v>1766</v>
      </c>
      <c r="D22" s="27" t="s">
        <v>1767</v>
      </c>
      <c r="E22" s="27" t="s">
        <v>1768</v>
      </c>
      <c r="F22" s="28" t="s">
        <v>1769</v>
      </c>
    </row>
    <row r="23" ht="15" customHeight="1">
      <c r="A23" s="27" t="s">
        <v>38</v>
      </c>
      <c r="B23" s="27" t="s">
        <v>1770</v>
      </c>
      <c r="C23" s="27" t="s">
        <v>1771</v>
      </c>
      <c r="D23" s="27" t="s">
        <v>1772</v>
      </c>
      <c r="E23" s="27" t="s">
        <v>1773</v>
      </c>
      <c r="F23" s="28" t="s">
        <v>1774</v>
      </c>
    </row>
    <row r="24" ht="15" customHeight="1">
      <c r="A24" s="27" t="s">
        <v>38</v>
      </c>
      <c r="B24" s="27" t="s">
        <v>1775</v>
      </c>
      <c r="C24" s="27" t="s">
        <v>1776</v>
      </c>
      <c r="D24" s="27" t="s">
        <v>1777</v>
      </c>
      <c r="E24" s="27" t="s">
        <v>1778</v>
      </c>
      <c r="F24" s="28" t="s">
        <v>1779</v>
      </c>
    </row>
    <row r="25" ht="15" customHeight="1">
      <c r="A25" s="27" t="s">
        <v>38</v>
      </c>
      <c r="B25" s="27" t="s">
        <v>1780</v>
      </c>
      <c r="C25" s="27" t="s">
        <v>1781</v>
      </c>
      <c r="D25" s="27" t="s">
        <v>1782</v>
      </c>
      <c r="E25" s="27" t="s">
        <v>1783</v>
      </c>
      <c r="F25" s="28" t="s">
        <v>1784</v>
      </c>
    </row>
    <row r="26" ht="15" customHeight="1">
      <c r="A26" s="27" t="s">
        <v>38</v>
      </c>
      <c r="B26" s="27" t="s">
        <v>1785</v>
      </c>
      <c r="C26" s="27" t="s">
        <v>1786</v>
      </c>
      <c r="D26" s="27" t="s">
        <v>1787</v>
      </c>
      <c r="E26" s="27" t="s">
        <v>1788</v>
      </c>
      <c r="F26" s="28" t="s">
        <v>1789</v>
      </c>
    </row>
    <row r="27" ht="15" customHeight="1">
      <c r="A27" s="27" t="s">
        <v>53</v>
      </c>
      <c r="B27" s="27" t="s">
        <v>1790</v>
      </c>
      <c r="C27" s="27" t="s">
        <v>1791</v>
      </c>
      <c r="D27" s="27" t="s">
        <v>1792</v>
      </c>
      <c r="E27" s="27" t="s">
        <v>1793</v>
      </c>
      <c r="F27" s="28" t="s">
        <v>1794</v>
      </c>
    </row>
    <row r="28" ht="15" customHeight="1">
      <c r="A28" s="27" t="s">
        <v>53</v>
      </c>
      <c r="B28" s="27" t="s">
        <v>1795</v>
      </c>
      <c r="C28" s="27" t="s">
        <v>1796</v>
      </c>
      <c r="D28" s="27" t="s">
        <v>260</v>
      </c>
      <c r="E28" s="27" t="s">
        <v>1797</v>
      </c>
      <c r="F28" s="28" t="s">
        <v>1798</v>
      </c>
    </row>
    <row r="29" ht="15" customHeight="1">
      <c r="A29" s="27" t="s">
        <v>1799</v>
      </c>
      <c r="B29" s="27" t="s">
        <v>1800</v>
      </c>
      <c r="C29" s="27" t="s">
        <v>1801</v>
      </c>
      <c r="D29" s="27" t="s">
        <v>1703</v>
      </c>
      <c r="E29" s="27" t="s">
        <v>1802</v>
      </c>
      <c r="F29" s="28" t="s">
        <v>1803</v>
      </c>
    </row>
    <row r="30" ht="15" customHeight="1">
      <c r="A30" s="27" t="s">
        <v>1799</v>
      </c>
      <c r="B30" s="27" t="s">
        <v>1804</v>
      </c>
      <c r="C30" s="27" t="s">
        <v>1805</v>
      </c>
      <c r="D30" s="27" t="s">
        <v>1510</v>
      </c>
      <c r="E30" s="27" t="s">
        <v>1806</v>
      </c>
      <c r="F30" s="28" t="s">
        <v>1807</v>
      </c>
    </row>
    <row r="31" ht="15" customHeight="1">
      <c r="A31" s="27" t="s">
        <v>1808</v>
      </c>
      <c r="B31" s="27" t="s">
        <v>1809</v>
      </c>
      <c r="C31" s="27" t="s">
        <v>1810</v>
      </c>
      <c r="D31" s="27" t="s">
        <v>1703</v>
      </c>
      <c r="E31" s="27" t="s">
        <v>1811</v>
      </c>
      <c r="F31" s="28" t="s">
        <v>1812</v>
      </c>
    </row>
    <row r="32" ht="15" customHeight="1">
      <c r="A32" s="27" t="s">
        <v>1808</v>
      </c>
      <c r="B32" s="27" t="s">
        <v>1813</v>
      </c>
      <c r="C32" s="27" t="s">
        <v>1814</v>
      </c>
      <c r="D32" s="27" t="s">
        <v>1815</v>
      </c>
      <c r="E32" s="27" t="s">
        <v>1816</v>
      </c>
      <c r="F32" s="28" t="s">
        <v>1817</v>
      </c>
    </row>
    <row r="33" ht="15" customHeight="1">
      <c r="A33" s="27" t="s">
        <v>1818</v>
      </c>
      <c r="B33" s="27" t="s">
        <v>1819</v>
      </c>
      <c r="C33" s="27" t="s">
        <v>1820</v>
      </c>
      <c r="D33" s="27" t="s">
        <v>260</v>
      </c>
      <c r="E33" s="27" t="s">
        <v>1821</v>
      </c>
      <c r="F33" s="28" t="s">
        <v>1822</v>
      </c>
    </row>
    <row r="34" ht="15" customHeight="1">
      <c r="A34" s="20"/>
      <c r="B34" s="20"/>
      <c r="C34" s="20"/>
      <c r="D34" s="20"/>
      <c r="E34" s="20"/>
      <c r="F34" s="20"/>
    </row>
  </sheetData>
  <mergeCells>
    <mergeCell ref="A1:F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E940A9A-FFA5-9E32-2DA4-96912EB3DBC1}" mc:Ignorable="x14ac xr xr2 xr3">
  <dimension ref="A1:GR1000"/>
  <sheetViews>
    <sheetView topLeftCell="A1" workbookViewId="0">
      <pane ySplit="4" topLeftCell="A5" activePane="bottomLeft" state="frozen"/>
      <selection pane="bottomLeft" activeCell="A4" sqref="A4"/>
    </sheetView>
  </sheetViews>
  <sheetFormatPr defaultRowHeight="15" defaultColWidth="8.8515625" customHeight="1"/>
  <cols>
    <col min="1" max="1" width="28.57421875" customWidth="1"/>
    <col min="2" max="2" width="22.8515625" customWidth="1"/>
    <col min="3" max="3" width="32.00390625" customWidth="1"/>
    <col min="4" max="5" width="28.57421875" customWidth="1"/>
    <col min="6" max="7" width="34.28125" customWidth="1"/>
  </cols>
  <sheetData>
    <row r="1" ht="22.5" customHeight="1">
      <c r="A1" s="9" t="s">
        <v>1823</v>
      </c>
    </row>
    <row r="2" ht="15" customHeight="1">
      <c r="A2" s="29" t="s">
        <v>1824</v>
      </c>
    </row>
    <row r="4" ht="16.5" customHeight="1">
      <c r="A4" s="30" t="s">
        <v>1825</v>
      </c>
      <c r="B4" s="30" t="s">
        <v>28</v>
      </c>
      <c r="C4" s="30" t="s">
        <v>1826</v>
      </c>
      <c r="D4" s="30" t="s">
        <v>1827</v>
      </c>
      <c r="E4" s="30" t="s">
        <v>1828</v>
      </c>
      <c r="F4" s="30" t="s">
        <v>1829</v>
      </c>
      <c r="G4" s="30" t="s">
        <v>1830</v>
      </c>
    </row>
    <row r="5" ht="15" customHeight="1">
      <c r="A5" s="8" t="s">
        <v>1831</v>
      </c>
      <c r="B5" s="8" t="s">
        <v>217</v>
      </c>
      <c r="C5" s="8" t="s">
        <v>1832</v>
      </c>
      <c r="D5" s="8" t="s">
        <v>1833</v>
      </c>
      <c r="E5" s="8" t="s">
        <v>244</v>
      </c>
      <c r="F5" s="8" t="s">
        <v>1834</v>
      </c>
      <c r="G5" s="8" t="s">
        <v>1835</v>
      </c>
    </row>
    <row r="6" ht="15" customHeight="1">
      <c r="A6" s="8" t="s">
        <v>1836</v>
      </c>
      <c r="B6" s="8" t="s">
        <v>252</v>
      </c>
      <c r="C6" s="8" t="s">
        <v>258</v>
      </c>
      <c r="D6" s="8" t="s">
        <v>1837</v>
      </c>
      <c r="E6" s="8" t="s">
        <v>259</v>
      </c>
      <c r="F6" s="8" t="s">
        <v>1838</v>
      </c>
      <c r="G6" s="8" t="s">
        <v>1839</v>
      </c>
    </row>
    <row r="7" ht="15" customHeight="1">
      <c r="A7" s="8" t="s">
        <v>1840</v>
      </c>
      <c r="B7" s="8" t="s">
        <v>89</v>
      </c>
      <c r="C7" s="8" t="s">
        <v>273</v>
      </c>
      <c r="D7" s="8" t="s">
        <v>1841</v>
      </c>
      <c r="E7" s="8" t="s">
        <v>274</v>
      </c>
      <c r="F7" s="8" t="s">
        <v>1842</v>
      </c>
      <c r="G7" s="8" t="s">
        <v>1843</v>
      </c>
    </row>
    <row r="8" ht="15" customHeight="1">
      <c r="A8" s="8" t="s">
        <v>1844</v>
      </c>
      <c r="B8" s="8" t="s">
        <v>1845</v>
      </c>
      <c r="C8" s="8" t="s">
        <v>1846</v>
      </c>
      <c r="D8" s="8" t="s">
        <v>1847</v>
      </c>
      <c r="E8" s="8" t="s">
        <v>1848</v>
      </c>
      <c r="F8" s="8" t="s">
        <v>1849</v>
      </c>
      <c r="G8" s="8" t="s">
        <v>1850</v>
      </c>
    </row>
    <row r="9" ht="15" customHeight="1">
      <c r="A9" s="8" t="s">
        <v>1851</v>
      </c>
      <c r="B9" s="8" t="s">
        <v>1852</v>
      </c>
      <c r="C9" s="8" t="s">
        <v>1853</v>
      </c>
      <c r="D9" s="8" t="s">
        <v>1854</v>
      </c>
      <c r="E9" s="8" t="s">
        <v>1855</v>
      </c>
      <c r="F9" s="8" t="s">
        <v>1856</v>
      </c>
      <c r="G9" s="8" t="s">
        <v>1857</v>
      </c>
    </row>
    <row r="10" ht="15" customHeight="1">
      <c r="A10" s="8" t="s">
        <v>1847</v>
      </c>
      <c r="B10" s="8" t="s">
        <v>1845</v>
      </c>
      <c r="C10" s="8" t="s">
        <v>1844</v>
      </c>
      <c r="D10" s="8" t="s">
        <v>1858</v>
      </c>
      <c r="E10" s="8" t="s">
        <v>308</v>
      </c>
      <c r="F10" s="8" t="s">
        <v>1859</v>
      </c>
      <c r="G10" s="8" t="s">
        <v>1860</v>
      </c>
    </row>
    <row r="11" ht="15" customHeight="1">
      <c r="A11" s="8" t="s">
        <v>1224</v>
      </c>
      <c r="B11" s="8" t="s">
        <v>1861</v>
      </c>
      <c r="C11" s="8" t="s">
        <v>352</v>
      </c>
      <c r="D11" s="8" t="s">
        <v>1862</v>
      </c>
      <c r="E11" s="8" t="s">
        <v>1863</v>
      </c>
      <c r="F11" s="8" t="s">
        <v>1864</v>
      </c>
      <c r="G11" s="8" t="s">
        <v>1865</v>
      </c>
    </row>
    <row r="12" ht="15" customHeight="1">
      <c r="A12" s="8" t="s">
        <v>1866</v>
      </c>
      <c r="B12" s="8" t="s">
        <v>101</v>
      </c>
      <c r="C12" s="8" t="s">
        <v>1867</v>
      </c>
      <c r="D12" s="8" t="s">
        <v>409</v>
      </c>
      <c r="E12" s="8" t="s">
        <v>393</v>
      </c>
      <c r="F12" s="8" t="s">
        <v>1868</v>
      </c>
      <c r="G12" s="8" t="s">
        <v>1869</v>
      </c>
    </row>
    <row r="13" ht="15" customHeight="1">
      <c r="A13" s="8" t="s">
        <v>1870</v>
      </c>
      <c r="B13" s="8" t="s">
        <v>1871</v>
      </c>
      <c r="C13" s="8" t="s">
        <v>420</v>
      </c>
      <c r="D13" s="8" t="s">
        <v>1872</v>
      </c>
      <c r="E13" s="8" t="s">
        <v>444</v>
      </c>
      <c r="F13" s="8" t="s">
        <v>1873</v>
      </c>
      <c r="G13" s="8" t="s">
        <v>1874</v>
      </c>
    </row>
    <row r="14" ht="15" customHeight="1">
      <c r="A14" s="8" t="s">
        <v>444</v>
      </c>
      <c r="B14" s="8" t="s">
        <v>1875</v>
      </c>
      <c r="C14" s="8" t="s">
        <v>1876</v>
      </c>
      <c r="D14" s="8" t="s">
        <v>421</v>
      </c>
      <c r="E14" s="8" t="s">
        <v>433</v>
      </c>
      <c r="F14" s="8" t="s">
        <v>1877</v>
      </c>
      <c r="G14" s="8" t="s">
        <v>1878</v>
      </c>
    </row>
    <row r="15" ht="15" customHeight="1">
      <c r="A15" s="8" t="s">
        <v>1879</v>
      </c>
      <c r="B15" s="8" t="s">
        <v>1880</v>
      </c>
      <c r="C15" s="8" t="s">
        <v>453</v>
      </c>
      <c r="D15" s="8" t="s">
        <v>1881</v>
      </c>
      <c r="E15" s="8" t="s">
        <v>454</v>
      </c>
      <c r="F15" s="8" t="s">
        <v>1882</v>
      </c>
      <c r="G15" s="8" t="s">
        <v>1883</v>
      </c>
    </row>
    <row r="16" ht="15" customHeight="1">
      <c r="A16" s="8" t="s">
        <v>467</v>
      </c>
      <c r="B16" s="8" t="s">
        <v>109</v>
      </c>
      <c r="C16" s="8" t="s">
        <v>481</v>
      </c>
      <c r="D16" s="8" t="s">
        <v>466</v>
      </c>
      <c r="E16" s="8" t="s">
        <v>1884</v>
      </c>
      <c r="F16" s="8" t="s">
        <v>1885</v>
      </c>
      <c r="G16" s="8" t="s">
        <v>1886</v>
      </c>
    </row>
    <row r="17" ht="15" customHeight="1">
      <c r="A17" s="8" t="s">
        <v>1887</v>
      </c>
      <c r="B17" s="8" t="s">
        <v>111</v>
      </c>
      <c r="C17" s="8" t="s">
        <v>1888</v>
      </c>
      <c r="D17" s="8" t="s">
        <v>1889</v>
      </c>
      <c r="E17" s="8" t="s">
        <v>493</v>
      </c>
      <c r="F17" s="8" t="s">
        <v>1890</v>
      </c>
      <c r="G17" s="8" t="s">
        <v>1891</v>
      </c>
    </row>
    <row r="18" ht="15" customHeight="1">
      <c r="A18" s="8" t="s">
        <v>1892</v>
      </c>
      <c r="B18" s="8" t="s">
        <v>1893</v>
      </c>
      <c r="C18" s="8" t="s">
        <v>505</v>
      </c>
      <c r="D18" s="8" t="s">
        <v>506</v>
      </c>
      <c r="E18" s="8" t="s">
        <v>1894</v>
      </c>
      <c r="F18" s="8" t="s">
        <v>1895</v>
      </c>
      <c r="G18" s="8" t="s">
        <v>1896</v>
      </c>
    </row>
    <row r="19" ht="15" customHeight="1">
      <c r="A19" s="8" t="s">
        <v>553</v>
      </c>
      <c r="B19" s="8" t="s">
        <v>117</v>
      </c>
      <c r="C19" s="8" t="s">
        <v>541</v>
      </c>
      <c r="D19" s="8" t="s">
        <v>1897</v>
      </c>
      <c r="E19" s="8" t="s">
        <v>542</v>
      </c>
      <c r="F19" s="8" t="s">
        <v>1898</v>
      </c>
      <c r="G19" s="8" t="s">
        <v>1899</v>
      </c>
    </row>
    <row r="20" ht="15" customHeight="1">
      <c r="A20" s="8" t="s">
        <v>1900</v>
      </c>
      <c r="B20" s="8" t="s">
        <v>119</v>
      </c>
      <c r="C20" s="8" t="s">
        <v>588</v>
      </c>
      <c r="D20" s="8" t="s">
        <v>1901</v>
      </c>
      <c r="E20" s="8" t="s">
        <v>589</v>
      </c>
      <c r="F20" s="8" t="s">
        <v>1902</v>
      </c>
      <c r="G20" s="8" t="s">
        <v>1903</v>
      </c>
    </row>
    <row r="21" ht="15" customHeight="1">
      <c r="A21" s="8" t="s">
        <v>1904</v>
      </c>
      <c r="B21" s="8" t="s">
        <v>1905</v>
      </c>
      <c r="C21" s="8" t="s">
        <v>600</v>
      </c>
      <c r="D21" s="8" t="s">
        <v>601</v>
      </c>
      <c r="E21" s="8" t="s">
        <v>622</v>
      </c>
      <c r="F21" s="8" t="s">
        <v>1906</v>
      </c>
      <c r="G21" s="8" t="s">
        <v>1907</v>
      </c>
    </row>
    <row r="22" ht="15" customHeight="1">
      <c r="A22" s="8" t="s">
        <v>1908</v>
      </c>
      <c r="B22" s="8" t="s">
        <v>1909</v>
      </c>
      <c r="C22" s="8" t="s">
        <v>610</v>
      </c>
      <c r="D22" s="8" t="s">
        <v>1910</v>
      </c>
      <c r="E22" s="8" t="s">
        <v>1911</v>
      </c>
      <c r="F22" s="8" t="s">
        <v>1912</v>
      </c>
      <c r="G22" s="8" t="s">
        <v>1913</v>
      </c>
    </row>
    <row r="23" ht="15" customHeight="1">
      <c r="A23" s="8" t="s">
        <v>1914</v>
      </c>
      <c r="B23" s="8" t="s">
        <v>1915</v>
      </c>
      <c r="C23" s="8" t="s">
        <v>661</v>
      </c>
      <c r="D23" s="8" t="s">
        <v>662</v>
      </c>
      <c r="E23" s="8" t="s">
        <v>1916</v>
      </c>
      <c r="F23" s="8" t="s">
        <v>1917</v>
      </c>
      <c r="G23" s="8" t="s">
        <v>1918</v>
      </c>
    </row>
    <row r="24" ht="15" customHeight="1">
      <c r="A24" s="8" t="s">
        <v>661</v>
      </c>
      <c r="B24" s="8" t="s">
        <v>1915</v>
      </c>
      <c r="C24" s="8" t="s">
        <v>1914</v>
      </c>
      <c r="D24" s="8" t="s">
        <v>688</v>
      </c>
      <c r="E24" s="8" t="s">
        <v>1916</v>
      </c>
      <c r="F24" s="8" t="s">
        <v>1919</v>
      </c>
      <c r="G24" s="8" t="s">
        <v>1920</v>
      </c>
    </row>
    <row r="25" ht="15" customHeight="1">
      <c r="A25" s="8" t="s">
        <v>713</v>
      </c>
      <c r="B25" s="8" t="s">
        <v>1921</v>
      </c>
      <c r="C25" s="8" t="s">
        <v>702</v>
      </c>
      <c r="D25" s="8" t="s">
        <v>703</v>
      </c>
      <c r="E25" s="8" t="s">
        <v>714</v>
      </c>
      <c r="F25" s="8" t="s">
        <v>1922</v>
      </c>
      <c r="G25" s="8" t="s">
        <v>1923</v>
      </c>
    </row>
    <row r="26" ht="15" customHeight="1">
      <c r="A26" s="8" t="s">
        <v>1924</v>
      </c>
      <c r="B26" s="8" t="s">
        <v>1925</v>
      </c>
      <c r="C26" s="8" t="s">
        <v>765</v>
      </c>
      <c r="D26" s="8" t="s">
        <v>1926</v>
      </c>
      <c r="E26" s="8" t="s">
        <v>778</v>
      </c>
      <c r="F26" s="8" t="s">
        <v>1927</v>
      </c>
      <c r="G26" s="8" t="s">
        <v>1928</v>
      </c>
    </row>
    <row r="27" ht="15" customHeight="1">
      <c r="A27" s="8" t="s">
        <v>765</v>
      </c>
      <c r="B27" s="8" t="s">
        <v>1929</v>
      </c>
      <c r="C27" s="8" t="s">
        <v>1924</v>
      </c>
      <c r="D27" s="8" t="s">
        <v>777</v>
      </c>
      <c r="E27" s="8" t="s">
        <v>1930</v>
      </c>
      <c r="F27" s="8" t="s">
        <v>1931</v>
      </c>
      <c r="G27" s="8" t="s">
        <v>1932</v>
      </c>
    </row>
    <row r="28" ht="15" customHeight="1">
      <c r="A28" s="8" t="s">
        <v>1933</v>
      </c>
      <c r="B28" s="8" t="s">
        <v>1934</v>
      </c>
      <c r="C28" s="8" t="s">
        <v>790</v>
      </c>
      <c r="D28" s="8" t="s">
        <v>791</v>
      </c>
      <c r="E28" s="8" t="s">
        <v>1935</v>
      </c>
      <c r="F28" s="8" t="s">
        <v>1936</v>
      </c>
      <c r="G28" s="8" t="s">
        <v>1937</v>
      </c>
    </row>
    <row r="29" ht="15" customHeight="1">
      <c r="A29" s="8" t="s">
        <v>1938</v>
      </c>
      <c r="B29" s="8" t="s">
        <v>1939</v>
      </c>
      <c r="C29" s="8" t="s">
        <v>1940</v>
      </c>
      <c r="D29" s="8" t="s">
        <v>893</v>
      </c>
      <c r="E29" s="8" t="s">
        <v>1941</v>
      </c>
      <c r="F29" s="8" t="s">
        <v>1942</v>
      </c>
      <c r="G29" s="8" t="s">
        <v>1943</v>
      </c>
    </row>
    <row r="30" ht="15" customHeight="1">
      <c r="A30" s="8" t="s">
        <v>868</v>
      </c>
      <c r="B30" s="8" t="s">
        <v>1944</v>
      </c>
      <c r="C30" s="8" t="s">
        <v>1945</v>
      </c>
      <c r="D30" s="8" t="s">
        <v>1946</v>
      </c>
      <c r="E30" s="8" t="s">
        <v>1947</v>
      </c>
      <c r="F30" s="8" t="s">
        <v>1948</v>
      </c>
      <c r="G30" s="8" t="s">
        <v>1949</v>
      </c>
    </row>
    <row r="31" ht="15" customHeight="1">
      <c r="A31" s="8" t="s">
        <v>1200</v>
      </c>
      <c r="B31" s="8" t="s">
        <v>1950</v>
      </c>
      <c r="C31" s="8" t="s">
        <v>903</v>
      </c>
      <c r="D31" s="8" t="s">
        <v>912</v>
      </c>
      <c r="E31" s="8" t="s">
        <v>904</v>
      </c>
      <c r="F31" s="8" t="s">
        <v>1951</v>
      </c>
      <c r="G31" s="8" t="s">
        <v>1952</v>
      </c>
    </row>
    <row r="32" ht="15" customHeight="1">
      <c r="A32" s="8" t="s">
        <v>1953</v>
      </c>
      <c r="B32" s="8" t="s">
        <v>1954</v>
      </c>
      <c r="C32" s="8" t="s">
        <v>958</v>
      </c>
      <c r="D32" s="8" t="s">
        <v>1955</v>
      </c>
      <c r="E32" s="8" t="s">
        <v>959</v>
      </c>
      <c r="F32" s="8" t="s">
        <v>1956</v>
      </c>
      <c r="G32" s="8" t="s">
        <v>1957</v>
      </c>
    </row>
    <row r="33" ht="15" customHeight="1">
      <c r="A33" s="8" t="s">
        <v>1958</v>
      </c>
      <c r="B33" s="8" t="s">
        <v>1959</v>
      </c>
      <c r="C33" s="8" t="s">
        <v>1960</v>
      </c>
      <c r="D33" s="8" t="s">
        <v>1961</v>
      </c>
      <c r="E33" s="8" t="s">
        <v>1962</v>
      </c>
      <c r="F33" s="8" t="s">
        <v>1963</v>
      </c>
      <c r="G33" s="8" t="s">
        <v>1964</v>
      </c>
    </row>
    <row r="34" ht="15" customHeight="1">
      <c r="A34" s="8" t="s">
        <v>1965</v>
      </c>
      <c r="B34" s="8" t="s">
        <v>157</v>
      </c>
      <c r="C34" s="8" t="s">
        <v>1966</v>
      </c>
      <c r="D34" s="8" t="s">
        <v>1967</v>
      </c>
      <c r="E34" s="8" t="s">
        <v>991</v>
      </c>
      <c r="F34" s="8" t="s">
        <v>1968</v>
      </c>
      <c r="G34" s="8" t="s">
        <v>1969</v>
      </c>
    </row>
    <row r="35" ht="15" customHeight="1">
      <c r="A35" s="8" t="s">
        <v>1970</v>
      </c>
      <c r="B35" s="8" t="s">
        <v>1971</v>
      </c>
      <c r="C35" s="8" t="s">
        <v>1030</v>
      </c>
      <c r="D35" s="8" t="s">
        <v>1972</v>
      </c>
      <c r="E35" s="8" t="s">
        <v>1031</v>
      </c>
      <c r="F35" s="8" t="s">
        <v>1973</v>
      </c>
      <c r="G35" s="8" t="s">
        <v>1974</v>
      </c>
    </row>
    <row r="36" ht="15" customHeight="1">
      <c r="A36" s="8" t="s">
        <v>1031</v>
      </c>
      <c r="B36" s="8" t="s">
        <v>1975</v>
      </c>
      <c r="C36" s="8" t="s">
        <v>1976</v>
      </c>
      <c r="D36" s="8" t="s">
        <v>1977</v>
      </c>
      <c r="E36" s="8" t="s">
        <v>1041</v>
      </c>
      <c r="F36" s="8" t="s">
        <v>1978</v>
      </c>
      <c r="G36" s="8" t="s">
        <v>1979</v>
      </c>
    </row>
    <row r="37" ht="15" customHeight="1">
      <c r="A37" s="8" t="s">
        <v>1980</v>
      </c>
      <c r="B37" s="8" t="s">
        <v>165</v>
      </c>
      <c r="C37" s="8" t="s">
        <v>1066</v>
      </c>
      <c r="D37" s="8" t="s">
        <v>1067</v>
      </c>
      <c r="E37" s="8" t="s">
        <v>1981</v>
      </c>
      <c r="F37" s="8" t="s">
        <v>1982</v>
      </c>
      <c r="G37" s="8" t="s">
        <v>1983</v>
      </c>
    </row>
  </sheetData>
  <mergeCells>
    <mergeCell ref="A1:G1"/>
    <mergeCell ref="A2:G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B6B903-364B-980B-F5A2-640CC042A852}" mc:Ignorable="x14ac xr xr2 xr3">
  <dimension ref="A1:GR1000"/>
  <sheetViews>
    <sheetView topLeftCell="A1" workbookViewId="0">
      <pane ySplit="4" topLeftCell="A10" activePane="bottomLeft" state="frozen"/>
      <selection pane="bottomLeft" activeCell="A1" sqref="A1:I1"/>
    </sheetView>
  </sheetViews>
  <sheetFormatPr defaultRowHeight="15" defaultColWidth="8.8515625" customHeight="1"/>
  <cols>
    <col min="1" max="1" width="25.7109375" customWidth="1"/>
    <col min="2" max="2" width="28.57421875" customWidth="1"/>
    <col min="3" max="3" width="14.28125" customWidth="1"/>
    <col min="4" max="4" width="21.421875" customWidth="1"/>
    <col min="5" max="5" width="15.7109375" customWidth="1"/>
    <col min="6" max="7" width="14.28125" customWidth="1"/>
    <col min="8" max="8" width="68.57421875" customWidth="1"/>
    <col min="9" max="9" width="40.00390625" customWidth="1"/>
  </cols>
  <sheetData>
    <row r="1" ht="22.5" customHeight="1">
      <c r="A1" s="9" t="s">
        <v>1984</v>
      </c>
    </row>
    <row r="2" ht="15" customHeight="1">
      <c r="A2" s="29" t="s">
        <v>1985</v>
      </c>
    </row>
    <row r="4" ht="16.5" customHeight="1">
      <c r="A4" s="31" t="s">
        <v>1986</v>
      </c>
      <c r="B4" s="31" t="s">
        <v>1987</v>
      </c>
      <c r="C4" s="31" t="s">
        <v>1988</v>
      </c>
      <c r="D4" s="31" t="s">
        <v>1989</v>
      </c>
      <c r="E4" s="31" t="s">
        <v>1990</v>
      </c>
      <c r="F4" s="31" t="s">
        <v>1991</v>
      </c>
      <c r="G4" s="31" t="s">
        <v>1992</v>
      </c>
      <c r="H4" s="31" t="s">
        <v>1993</v>
      </c>
      <c r="I4" s="31" t="s">
        <v>1247</v>
      </c>
    </row>
    <row r="5" ht="15" customHeight="1">
      <c r="A5" s="8" t="s">
        <v>1994</v>
      </c>
      <c r="B5" s="8" t="s">
        <v>1995</v>
      </c>
      <c r="C5" s="8" t="s">
        <v>1996</v>
      </c>
      <c r="D5" s="8" t="s">
        <v>470</v>
      </c>
      <c r="E5" s="8" t="s">
        <v>1997</v>
      </c>
      <c r="F5" s="12" t="s">
        <v>1998</v>
      </c>
      <c r="G5" s="12" t="s">
        <v>1999</v>
      </c>
      <c r="H5" s="8" t="s">
        <v>2000</v>
      </c>
      <c r="I5" s="8" t="s">
        <v>2001</v>
      </c>
    </row>
    <row r="6" ht="15" customHeight="1">
      <c r="A6" s="8" t="s">
        <v>2002</v>
      </c>
      <c r="B6" s="8" t="s">
        <v>2003</v>
      </c>
      <c r="C6" s="8" t="s">
        <v>2004</v>
      </c>
      <c r="D6" s="8" t="s">
        <v>1347</v>
      </c>
      <c r="E6" s="8" t="s">
        <v>2005</v>
      </c>
      <c r="F6" s="12" t="s">
        <v>2006</v>
      </c>
      <c r="G6" s="12" t="s">
        <v>2007</v>
      </c>
      <c r="H6" s="8" t="s">
        <v>2008</v>
      </c>
      <c r="I6" s="8" t="s">
        <v>2009</v>
      </c>
    </row>
    <row r="7" ht="15" customHeight="1">
      <c r="A7" s="8" t="s">
        <v>2010</v>
      </c>
      <c r="B7" s="8" t="s">
        <v>2011</v>
      </c>
      <c r="C7" s="8" t="s">
        <v>2012</v>
      </c>
      <c r="D7" s="8" t="s">
        <v>1777</v>
      </c>
      <c r="E7" s="8" t="s">
        <v>2013</v>
      </c>
      <c r="F7" s="12" t="s">
        <v>2014</v>
      </c>
      <c r="G7" s="12" t="s">
        <v>2015</v>
      </c>
      <c r="H7" s="8" t="s">
        <v>2016</v>
      </c>
      <c r="I7" s="8" t="s">
        <v>2017</v>
      </c>
    </row>
    <row r="8" ht="15" customHeight="1">
      <c r="A8" s="8" t="s">
        <v>2018</v>
      </c>
      <c r="B8" s="8" t="s">
        <v>2019</v>
      </c>
      <c r="C8" s="8" t="s">
        <v>2020</v>
      </c>
      <c r="D8" s="8" t="s">
        <v>1777</v>
      </c>
      <c r="E8" s="8" t="s">
        <v>2005</v>
      </c>
      <c r="F8" s="12" t="s">
        <v>2021</v>
      </c>
      <c r="G8" s="12" t="s">
        <v>2022</v>
      </c>
      <c r="H8" s="8" t="s">
        <v>2023</v>
      </c>
      <c r="I8" s="8" t="s">
        <v>2024</v>
      </c>
    </row>
    <row r="9" ht="15" customHeight="1">
      <c r="A9" s="8" t="s">
        <v>2025</v>
      </c>
      <c r="B9" s="8" t="s">
        <v>2026</v>
      </c>
      <c r="C9" s="8" t="s">
        <v>2027</v>
      </c>
      <c r="D9" s="8" t="s">
        <v>2028</v>
      </c>
      <c r="E9" s="8" t="s">
        <v>1997</v>
      </c>
      <c r="F9" s="12" t="s">
        <v>2006</v>
      </c>
      <c r="G9" s="12" t="s">
        <v>2029</v>
      </c>
      <c r="H9" s="8" t="s">
        <v>2030</v>
      </c>
      <c r="I9" s="8" t="s">
        <v>2031</v>
      </c>
    </row>
    <row r="10" ht="15" customHeight="1">
      <c r="A10" s="8" t="s">
        <v>2032</v>
      </c>
      <c r="B10" s="8" t="s">
        <v>2033</v>
      </c>
      <c r="C10" s="8" t="s">
        <v>2027</v>
      </c>
      <c r="D10" s="8" t="s">
        <v>2028</v>
      </c>
      <c r="E10" s="8" t="s">
        <v>1997</v>
      </c>
      <c r="F10" s="12" t="s">
        <v>2034</v>
      </c>
      <c r="G10" s="12" t="s">
        <v>2035</v>
      </c>
      <c r="H10" s="8" t="s">
        <v>2036</v>
      </c>
      <c r="I10" s="8" t="s">
        <v>2037</v>
      </c>
    </row>
    <row r="11" ht="15" customHeight="1">
      <c r="A11" s="8" t="s">
        <v>2038</v>
      </c>
      <c r="B11" s="8" t="s">
        <v>2039</v>
      </c>
      <c r="C11" s="8" t="s">
        <v>1347</v>
      </c>
      <c r="D11" s="8" t="s">
        <v>1347</v>
      </c>
      <c r="E11" s="8" t="s">
        <v>2040</v>
      </c>
      <c r="F11" s="12" t="s">
        <v>2041</v>
      </c>
      <c r="G11" s="12" t="s">
        <v>2042</v>
      </c>
      <c r="H11" s="8" t="s">
        <v>2043</v>
      </c>
      <c r="I11" s="8" t="s">
        <v>2044</v>
      </c>
    </row>
    <row r="12" ht="15" customHeight="1">
      <c r="A12" s="8" t="s">
        <v>2045</v>
      </c>
      <c r="B12" s="8" t="s">
        <v>2046</v>
      </c>
      <c r="C12" s="8" t="s">
        <v>2047</v>
      </c>
      <c r="D12" s="8" t="s">
        <v>2028</v>
      </c>
      <c r="E12" s="8" t="s">
        <v>2013</v>
      </c>
      <c r="F12" s="12" t="s">
        <v>2048</v>
      </c>
      <c r="G12" s="12" t="s">
        <v>2049</v>
      </c>
      <c r="H12" s="8" t="s">
        <v>2050</v>
      </c>
      <c r="I12" s="8" t="s">
        <v>2051</v>
      </c>
    </row>
    <row r="13" ht="15" customHeight="1">
      <c r="A13" s="8" t="s">
        <v>2052</v>
      </c>
      <c r="B13" s="8" t="s">
        <v>2053</v>
      </c>
      <c r="C13" s="8" t="s">
        <v>2054</v>
      </c>
      <c r="D13" s="8" t="s">
        <v>2055</v>
      </c>
      <c r="E13" s="8" t="s">
        <v>2013</v>
      </c>
      <c r="F13" s="12" t="s">
        <v>2034</v>
      </c>
      <c r="G13" s="12" t="s">
        <v>2056</v>
      </c>
      <c r="H13" s="8" t="s">
        <v>2057</v>
      </c>
      <c r="I13" s="8" t="s">
        <v>2058</v>
      </c>
    </row>
    <row r="14" ht="15" customHeight="1">
      <c r="A14" s="8" t="s">
        <v>2059</v>
      </c>
      <c r="B14" s="8" t="s">
        <v>2060</v>
      </c>
      <c r="C14" s="8" t="s">
        <v>2061</v>
      </c>
      <c r="D14" s="8" t="s">
        <v>2062</v>
      </c>
      <c r="E14" s="8" t="s">
        <v>2040</v>
      </c>
      <c r="F14" s="12" t="s">
        <v>2063</v>
      </c>
      <c r="G14" s="12" t="s">
        <v>2064</v>
      </c>
      <c r="H14" s="8" t="s">
        <v>2065</v>
      </c>
      <c r="I14" s="8" t="s">
        <v>2066</v>
      </c>
    </row>
    <row r="15" ht="15" customHeight="1">
      <c r="A15" s="8" t="s">
        <v>2067</v>
      </c>
      <c r="B15" s="8" t="s">
        <v>2068</v>
      </c>
      <c r="C15" s="8" t="s">
        <v>2069</v>
      </c>
      <c r="D15" s="8" t="s">
        <v>2070</v>
      </c>
      <c r="E15" s="8" t="s">
        <v>2005</v>
      </c>
      <c r="F15" s="12" t="s">
        <v>2071</v>
      </c>
      <c r="G15" s="12" t="s">
        <v>2072</v>
      </c>
      <c r="H15" s="8" t="s">
        <v>2073</v>
      </c>
      <c r="I15" s="8" t="s">
        <v>2074</v>
      </c>
    </row>
    <row r="16" ht="15" customHeight="1">
      <c r="A16" s="8" t="s">
        <v>2075</v>
      </c>
      <c r="B16" s="8" t="s">
        <v>2076</v>
      </c>
      <c r="C16" s="8" t="s">
        <v>2004</v>
      </c>
      <c r="D16" s="8" t="s">
        <v>1347</v>
      </c>
      <c r="E16" s="8" t="s">
        <v>2005</v>
      </c>
      <c r="F16" s="12" t="s">
        <v>2077</v>
      </c>
      <c r="G16" s="12" t="s">
        <v>2078</v>
      </c>
      <c r="H16" s="8" t="s">
        <v>2079</v>
      </c>
      <c r="I16" s="8" t="s">
        <v>2080</v>
      </c>
    </row>
    <row r="17" ht="15" customHeight="1">
      <c r="A17" s="8" t="s">
        <v>2081</v>
      </c>
      <c r="B17" s="8" t="s">
        <v>2082</v>
      </c>
      <c r="C17" s="8" t="s">
        <v>2083</v>
      </c>
      <c r="D17" s="8" t="s">
        <v>2084</v>
      </c>
      <c r="E17" s="8" t="s">
        <v>2085</v>
      </c>
      <c r="F17" s="12" t="s">
        <v>2086</v>
      </c>
      <c r="G17" s="12" t="s">
        <v>2087</v>
      </c>
      <c r="H17" s="8" t="s">
        <v>2088</v>
      </c>
      <c r="I17" s="8" t="s">
        <v>2089</v>
      </c>
    </row>
    <row r="18" ht="15" customHeight="1">
      <c r="A18" s="8" t="s">
        <v>2090</v>
      </c>
      <c r="B18" s="8" t="s">
        <v>2091</v>
      </c>
      <c r="C18" s="8" t="s">
        <v>2083</v>
      </c>
      <c r="D18" s="8" t="s">
        <v>2092</v>
      </c>
      <c r="E18" s="8" t="s">
        <v>2005</v>
      </c>
      <c r="F18" s="12" t="s">
        <v>2041</v>
      </c>
      <c r="G18" s="12" t="s">
        <v>2064</v>
      </c>
      <c r="H18" s="8" t="s">
        <v>2093</v>
      </c>
      <c r="I18" s="8" t="s">
        <v>2094</v>
      </c>
    </row>
    <row r="19" ht="15" customHeight="1">
      <c r="A19" s="8" t="s">
        <v>2095</v>
      </c>
      <c r="B19" s="8" t="s">
        <v>2096</v>
      </c>
      <c r="C19" s="8" t="s">
        <v>2069</v>
      </c>
      <c r="D19" s="8" t="s">
        <v>2097</v>
      </c>
      <c r="E19" s="8" t="s">
        <v>2013</v>
      </c>
      <c r="F19" s="12" t="s">
        <v>2063</v>
      </c>
      <c r="G19" s="12" t="s">
        <v>2098</v>
      </c>
      <c r="H19" s="8" t="s">
        <v>2099</v>
      </c>
      <c r="I19" s="8" t="s">
        <v>2100</v>
      </c>
    </row>
    <row r="20" ht="15" customHeight="1">
      <c r="A20" s="8" t="s">
        <v>2101</v>
      </c>
      <c r="B20" s="8" t="s">
        <v>2102</v>
      </c>
      <c r="C20" s="8" t="s">
        <v>2103</v>
      </c>
      <c r="D20" s="8" t="s">
        <v>1347</v>
      </c>
      <c r="E20" s="8" t="s">
        <v>2005</v>
      </c>
      <c r="F20" s="12" t="s">
        <v>2104</v>
      </c>
      <c r="G20" s="12" t="s">
        <v>2078</v>
      </c>
      <c r="H20" s="8" t="s">
        <v>2105</v>
      </c>
      <c r="I20" s="8" t="s">
        <v>2106</v>
      </c>
    </row>
    <row r="21" ht="15" customHeight="1">
      <c r="A21" s="8" t="s">
        <v>2107</v>
      </c>
      <c r="B21" s="8" t="s">
        <v>2108</v>
      </c>
      <c r="C21" s="8" t="s">
        <v>2020</v>
      </c>
      <c r="D21" s="8" t="s">
        <v>1777</v>
      </c>
      <c r="E21" s="8" t="s">
        <v>2005</v>
      </c>
      <c r="F21" s="12" t="s">
        <v>2109</v>
      </c>
      <c r="G21" s="12" t="s">
        <v>2110</v>
      </c>
      <c r="H21" s="8" t="s">
        <v>2111</v>
      </c>
      <c r="I21" s="8" t="s">
        <v>2112</v>
      </c>
    </row>
    <row r="22" ht="15" customHeight="1">
      <c r="A22" s="8" t="s">
        <v>2113</v>
      </c>
      <c r="B22" s="8" t="s">
        <v>2114</v>
      </c>
      <c r="C22" s="8" t="s">
        <v>2069</v>
      </c>
      <c r="D22" s="8" t="s">
        <v>1777</v>
      </c>
      <c r="E22" s="8" t="s">
        <v>2013</v>
      </c>
      <c r="F22" s="12" t="s">
        <v>2115</v>
      </c>
      <c r="G22" s="12" t="s">
        <v>2064</v>
      </c>
      <c r="H22" s="8" t="s">
        <v>2116</v>
      </c>
      <c r="I22" s="8" t="s">
        <v>2117</v>
      </c>
    </row>
    <row r="28" ht="16.5" customHeight="1">
      <c r="A28" s="32" t="s">
        <v>2118</v>
      </c>
    </row>
    <row r="29" ht="15" customHeight="1">
      <c r="A29" s="33" t="s">
        <v>2119</v>
      </c>
      <c r="B29" s="33" t="s">
        <v>2120</v>
      </c>
      <c r="C29" s="33" t="s">
        <v>2121</v>
      </c>
      <c r="D29" s="33" t="s">
        <v>2122</v>
      </c>
    </row>
    <row r="30" ht="15" customHeight="1">
      <c r="A30" s="8" t="s">
        <v>2123</v>
      </c>
      <c r="B30" s="8" t="s">
        <v>2124</v>
      </c>
      <c r="C30" s="8" t="s">
        <v>2125</v>
      </c>
      <c r="D30" s="8" t="s">
        <v>2126</v>
      </c>
    </row>
    <row r="31" ht="15" customHeight="1">
      <c r="A31" s="8" t="s">
        <v>2127</v>
      </c>
      <c r="B31" s="8" t="s">
        <v>2128</v>
      </c>
      <c r="C31" s="8" t="s">
        <v>2129</v>
      </c>
      <c r="D31" s="8" t="s">
        <v>2130</v>
      </c>
    </row>
    <row r="32" ht="15" customHeight="1">
      <c r="A32" s="8" t="s">
        <v>72</v>
      </c>
      <c r="B32" s="8" t="s">
        <v>2131</v>
      </c>
      <c r="C32" s="8" t="s">
        <v>2132</v>
      </c>
      <c r="D32" s="8" t="s">
        <v>2133</v>
      </c>
    </row>
    <row r="33" ht="15" customHeight="1">
      <c r="A33" s="8" t="s">
        <v>1442</v>
      </c>
      <c r="B33" s="8" t="s">
        <v>2134</v>
      </c>
      <c r="C33" s="8" t="s">
        <v>2135</v>
      </c>
      <c r="D33" s="8" t="s">
        <v>2136</v>
      </c>
    </row>
  </sheetData>
  <mergeCells>
    <mergeCell ref="A1:I1"/>
    <mergeCell ref="A2:I2"/>
    <mergeCell ref="A28:D2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5F2AA84-E0ED-54BA-D90D-32C536E429B9}" mc:Ignorable="x14ac xr xr2 xr3">
  <dimension ref="A1:GR1000"/>
  <sheetViews>
    <sheetView topLeftCell="A26" workbookViewId="0">
      <selection activeCell="A1" sqref="A1:E1"/>
    </sheetView>
  </sheetViews>
  <sheetFormatPr defaultRowHeight="15" defaultColWidth="8.8515625" customHeight="1"/>
  <cols>
    <col min="1" max="1" width="22.8515625" customWidth="1"/>
    <col min="2" max="2" width="48.57421875" customWidth="1"/>
    <col min="3" max="3" width="15.7109375" customWidth="1"/>
    <col min="4" max="4" width="22.8515625" customWidth="1"/>
    <col min="5" max="5" width="32.8515625" customWidth="1"/>
  </cols>
  <sheetData>
    <row r="1" ht="26.25" customHeight="1">
      <c r="A1" s="34" t="s">
        <v>2137</v>
      </c>
    </row>
    <row r="3" ht="16.5" customHeight="1">
      <c r="A3" s="35" t="s">
        <v>2138</v>
      </c>
    </row>
    <row r="4" ht="15" customHeight="1">
      <c r="A4" s="36" t="s">
        <v>2139</v>
      </c>
      <c r="B4" s="36" t="s">
        <v>2140</v>
      </c>
      <c r="C4" s="36" t="s">
        <v>2141</v>
      </c>
      <c r="D4" s="36" t="s">
        <v>2142</v>
      </c>
      <c r="E4" s="36" t="s">
        <v>2143</v>
      </c>
    </row>
    <row r="5" ht="14.25" customHeight="1">
      <c r="A5" s="37" t="s">
        <v>2144</v>
      </c>
      <c r="B5" s="37" t="s">
        <v>2145</v>
      </c>
      <c r="C5" s="37" t="s">
        <v>2146</v>
      </c>
      <c r="D5" s="37" t="s">
        <v>2147</v>
      </c>
      <c r="E5" s="37" t="s">
        <v>2148</v>
      </c>
    </row>
    <row r="6" ht="14.25" customHeight="1">
      <c r="A6" s="37" t="s">
        <v>2149</v>
      </c>
      <c r="B6" s="37" t="s">
        <v>2150</v>
      </c>
      <c r="C6" s="37" t="s">
        <v>2151</v>
      </c>
      <c r="D6" s="37" t="s">
        <v>2152</v>
      </c>
      <c r="E6" s="37" t="s">
        <v>2153</v>
      </c>
    </row>
    <row r="7" ht="14.25" customHeight="1">
      <c r="A7" s="37" t="s">
        <v>193</v>
      </c>
      <c r="B7" s="37" t="s">
        <v>2154</v>
      </c>
      <c r="C7" s="37" t="s">
        <v>2146</v>
      </c>
      <c r="D7" s="37" t="s">
        <v>2155</v>
      </c>
      <c r="E7" s="37" t="s">
        <v>2156</v>
      </c>
    </row>
    <row r="8" ht="14.25" customHeight="1">
      <c r="A8" s="37" t="s">
        <v>1734</v>
      </c>
      <c r="B8" s="37" t="s">
        <v>2157</v>
      </c>
      <c r="C8" s="37" t="s">
        <v>2151</v>
      </c>
      <c r="D8" s="37" t="s">
        <v>2158</v>
      </c>
      <c r="E8" s="37" t="s">
        <v>2159</v>
      </c>
    </row>
    <row r="9" ht="14.25" customHeight="1">
      <c r="A9" s="37" t="s">
        <v>38</v>
      </c>
      <c r="B9" s="37" t="s">
        <v>2160</v>
      </c>
      <c r="C9" s="37" t="s">
        <v>2146</v>
      </c>
      <c r="D9" s="37" t="s">
        <v>2161</v>
      </c>
      <c r="E9" s="37" t="s">
        <v>2162</v>
      </c>
    </row>
    <row r="10" ht="14.25" customHeight="1">
      <c r="A10" s="37" t="s">
        <v>1470</v>
      </c>
      <c r="B10" s="37" t="s">
        <v>2163</v>
      </c>
      <c r="C10" s="37" t="s">
        <v>2146</v>
      </c>
      <c r="D10" s="37" t="s">
        <v>2164</v>
      </c>
      <c r="E10" s="37" t="s">
        <v>2165</v>
      </c>
    </row>
    <row r="11" ht="14.25" customHeight="1">
      <c r="A11" s="37" t="s">
        <v>2166</v>
      </c>
      <c r="B11" s="37" t="s">
        <v>2167</v>
      </c>
      <c r="C11" s="37" t="s">
        <v>2146</v>
      </c>
      <c r="D11" s="37" t="s">
        <v>2168</v>
      </c>
      <c r="E11" s="37" t="s">
        <v>2169</v>
      </c>
    </row>
    <row r="12" ht="14.25" customHeight="1">
      <c r="A12" s="37" t="s">
        <v>53</v>
      </c>
      <c r="B12" s="37" t="s">
        <v>2170</v>
      </c>
      <c r="C12" s="37" t="s">
        <v>2146</v>
      </c>
      <c r="D12" s="37" t="s">
        <v>2171</v>
      </c>
      <c r="E12" s="37" t="s">
        <v>2172</v>
      </c>
    </row>
    <row r="13" ht="14.25" customHeight="1">
      <c r="A13" s="37" t="s">
        <v>2173</v>
      </c>
      <c r="B13" s="37" t="s">
        <v>2174</v>
      </c>
      <c r="C13" s="37" t="s">
        <v>2151</v>
      </c>
      <c r="D13" s="37" t="s">
        <v>2175</v>
      </c>
      <c r="E13" s="37" t="s">
        <v>2176</v>
      </c>
    </row>
    <row r="14" ht="14.25" customHeight="1">
      <c r="A14" s="37" t="s">
        <v>2177</v>
      </c>
      <c r="B14" s="37" t="s">
        <v>2178</v>
      </c>
      <c r="C14" s="37" t="s">
        <v>2146</v>
      </c>
      <c r="D14" s="37" t="s">
        <v>2179</v>
      </c>
      <c r="E14" s="37" t="s">
        <v>2180</v>
      </c>
    </row>
    <row r="16" ht="16.5" customHeight="1">
      <c r="A16" s="35" t="s">
        <v>2181</v>
      </c>
    </row>
    <row r="17" ht="15" customHeight="1">
      <c r="A17" s="36" t="s">
        <v>2182</v>
      </c>
      <c r="B17" s="36" t="s">
        <v>2183</v>
      </c>
      <c r="C17" s="36" t="s">
        <v>2184</v>
      </c>
      <c r="D17" s="36" t="s">
        <v>1242</v>
      </c>
      <c r="E17" s="36" t="s">
        <v>2185</v>
      </c>
    </row>
    <row r="18" ht="14.25" customHeight="1">
      <c r="A18" s="37" t="s">
        <v>1494</v>
      </c>
      <c r="B18" s="37" t="s">
        <v>2186</v>
      </c>
      <c r="C18" s="37" t="s">
        <v>2187</v>
      </c>
      <c r="D18" s="37" t="s">
        <v>2188</v>
      </c>
      <c r="E18" s="37" t="s">
        <v>2189</v>
      </c>
    </row>
    <row r="19" ht="14.25" customHeight="1">
      <c r="A19" s="37" t="s">
        <v>1734</v>
      </c>
      <c r="B19" s="37" t="s">
        <v>2190</v>
      </c>
      <c r="C19" s="37" t="s">
        <v>2191</v>
      </c>
      <c r="D19" s="37" t="s">
        <v>2192</v>
      </c>
      <c r="E19" s="37" t="s">
        <v>2193</v>
      </c>
    </row>
    <row r="20" ht="14.25" customHeight="1">
      <c r="A20" s="37" t="s">
        <v>2194</v>
      </c>
      <c r="B20" s="37" t="s">
        <v>2195</v>
      </c>
      <c r="C20" s="37" t="s">
        <v>2196</v>
      </c>
      <c r="D20" s="37" t="s">
        <v>2197</v>
      </c>
      <c r="E20" s="37" t="s">
        <v>2198</v>
      </c>
    </row>
    <row r="21" ht="14.25" customHeight="1">
      <c r="A21" s="37" t="s">
        <v>2199</v>
      </c>
      <c r="B21" s="37" t="s">
        <v>2200</v>
      </c>
      <c r="C21" s="37" t="s">
        <v>2201</v>
      </c>
      <c r="D21" s="37" t="s">
        <v>2202</v>
      </c>
      <c r="E21" s="37" t="s">
        <v>2203</v>
      </c>
    </row>
    <row r="22" ht="14.25" customHeight="1">
      <c r="A22" s="37" t="s">
        <v>2204</v>
      </c>
      <c r="B22" s="37" t="s">
        <v>2205</v>
      </c>
      <c r="C22" s="37" t="s">
        <v>2201</v>
      </c>
      <c r="D22" s="37" t="s">
        <v>2206</v>
      </c>
      <c r="E22" s="37" t="s">
        <v>2207</v>
      </c>
    </row>
    <row r="23" ht="14.25" customHeight="1">
      <c r="A23" s="37" t="s">
        <v>2208</v>
      </c>
      <c r="B23" s="37" t="s">
        <v>2209</v>
      </c>
      <c r="C23" s="37" t="s">
        <v>2210</v>
      </c>
      <c r="D23" s="37" t="s">
        <v>2211</v>
      </c>
      <c r="E23" s="37" t="s">
        <v>2212</v>
      </c>
    </row>
    <row r="24" ht="14.25" customHeight="1">
      <c r="A24" s="37" t="s">
        <v>53</v>
      </c>
      <c r="B24" s="37" t="s">
        <v>2213</v>
      </c>
      <c r="C24" s="37" t="s">
        <v>2214</v>
      </c>
      <c r="D24" s="37" t="s">
        <v>2215</v>
      </c>
      <c r="E24" s="37" t="s">
        <v>2216</v>
      </c>
    </row>
    <row r="25" ht="14.25" customHeight="1">
      <c r="A25" s="37" t="s">
        <v>1470</v>
      </c>
      <c r="B25" s="37" t="s">
        <v>2217</v>
      </c>
      <c r="C25" s="37" t="s">
        <v>2218</v>
      </c>
      <c r="D25" s="37" t="s">
        <v>2219</v>
      </c>
      <c r="E25" s="37" t="s">
        <v>2220</v>
      </c>
    </row>
    <row r="26" ht="14.25" customHeight="1">
      <c r="A26" s="37" t="s">
        <v>2221</v>
      </c>
      <c r="B26" s="37" t="s">
        <v>2222</v>
      </c>
      <c r="C26" s="37" t="s">
        <v>2223</v>
      </c>
      <c r="D26" s="37" t="s">
        <v>2224</v>
      </c>
      <c r="E26" s="37" t="s">
        <v>2225</v>
      </c>
    </row>
    <row r="27" ht="14.25" customHeight="1">
      <c r="A27" s="37" t="s">
        <v>1754</v>
      </c>
      <c r="B27" s="37" t="s">
        <v>2226</v>
      </c>
      <c r="C27" s="37" t="s">
        <v>2227</v>
      </c>
      <c r="D27" s="37" t="s">
        <v>1313</v>
      </c>
      <c r="E27" s="37" t="s">
        <v>2228</v>
      </c>
    </row>
    <row r="29" ht="16.5" customHeight="1">
      <c r="A29" s="35" t="s">
        <v>2229</v>
      </c>
    </row>
    <row r="30" ht="15" customHeight="1">
      <c r="A30" s="36" t="s">
        <v>2182</v>
      </c>
      <c r="B30" s="36" t="s">
        <v>2230</v>
      </c>
      <c r="C30" s="36" t="s">
        <v>2231</v>
      </c>
      <c r="D30" s="36" t="s">
        <v>2232</v>
      </c>
      <c r="E30" s="36" t="s">
        <v>2144</v>
      </c>
    </row>
    <row r="31" ht="14.25" customHeight="1">
      <c r="A31" s="37" t="s">
        <v>2233</v>
      </c>
      <c r="B31" s="37" t="s">
        <v>2234</v>
      </c>
      <c r="C31" s="37" t="s">
        <v>2235</v>
      </c>
      <c r="D31" s="37" t="s">
        <v>2236</v>
      </c>
      <c r="E31" s="37" t="s">
        <v>2237</v>
      </c>
    </row>
    <row r="32" ht="14.25" customHeight="1">
      <c r="A32" s="37" t="s">
        <v>2199</v>
      </c>
      <c r="B32" s="37" t="s">
        <v>2238</v>
      </c>
      <c r="C32" s="37" t="s">
        <v>2239</v>
      </c>
      <c r="D32" s="37" t="s">
        <v>2240</v>
      </c>
      <c r="E32" s="37" t="s">
        <v>2241</v>
      </c>
    </row>
    <row r="33" ht="14.25" customHeight="1">
      <c r="A33" s="37" t="s">
        <v>1734</v>
      </c>
      <c r="B33" s="37" t="s">
        <v>2242</v>
      </c>
      <c r="C33" s="37" t="s">
        <v>2243</v>
      </c>
      <c r="D33" s="37" t="s">
        <v>2244</v>
      </c>
      <c r="E33" s="37" t="s">
        <v>2245</v>
      </c>
    </row>
    <row r="34" ht="14.25" customHeight="1">
      <c r="A34" s="37" t="s">
        <v>53</v>
      </c>
      <c r="B34" s="37" t="s">
        <v>2246</v>
      </c>
      <c r="C34" s="37" t="s">
        <v>2247</v>
      </c>
      <c r="D34" s="37" t="s">
        <v>2248</v>
      </c>
      <c r="E34" s="37" t="s">
        <v>2249</v>
      </c>
    </row>
    <row r="35" ht="14.25" customHeight="1">
      <c r="A35" s="37" t="s">
        <v>2166</v>
      </c>
      <c r="B35" s="37" t="s">
        <v>2250</v>
      </c>
      <c r="C35" s="37" t="s">
        <v>2251</v>
      </c>
      <c r="D35" s="37" t="s">
        <v>2252</v>
      </c>
      <c r="E35" s="37" t="s">
        <v>2253</v>
      </c>
    </row>
    <row r="36" ht="14.25" customHeight="1">
      <c r="A36" s="37" t="s">
        <v>2254</v>
      </c>
      <c r="B36" s="37" t="s">
        <v>2255</v>
      </c>
      <c r="C36" s="37" t="s">
        <v>2256</v>
      </c>
      <c r="D36" s="37" t="s">
        <v>2257</v>
      </c>
      <c r="E36" s="37" t="s">
        <v>2258</v>
      </c>
    </row>
    <row r="37" ht="14.25" customHeight="1">
      <c r="A37" s="37" t="s">
        <v>1971</v>
      </c>
      <c r="B37" s="37" t="s">
        <v>2259</v>
      </c>
      <c r="C37" s="37" t="s">
        <v>2260</v>
      </c>
      <c r="D37" s="37" t="s">
        <v>2261</v>
      </c>
      <c r="E37" s="37" t="s">
        <v>2262</v>
      </c>
    </row>
    <row r="38" ht="14.25" customHeight="1">
      <c r="A38" s="37" t="s">
        <v>2263</v>
      </c>
      <c r="B38" s="37" t="s">
        <v>2259</v>
      </c>
      <c r="C38" s="37" t="s">
        <v>2264</v>
      </c>
      <c r="D38" s="37" t="s">
        <v>2265</v>
      </c>
      <c r="E38" s="37" t="s">
        <v>2266</v>
      </c>
    </row>
    <row r="40" ht="16.5" customHeight="1">
      <c r="A40" s="35" t="s">
        <v>2267</v>
      </c>
    </row>
    <row r="41" ht="15" customHeight="1">
      <c r="A41" s="36" t="s">
        <v>2182</v>
      </c>
      <c r="B41" s="36" t="s">
        <v>2268</v>
      </c>
      <c r="C41" s="36" t="s">
        <v>2269</v>
      </c>
      <c r="D41" s="36" t="s">
        <v>2270</v>
      </c>
      <c r="E41" s="36" t="s">
        <v>2271</v>
      </c>
    </row>
    <row r="42" ht="14.25" customHeight="1">
      <c r="A42" s="37" t="s">
        <v>2233</v>
      </c>
      <c r="B42" s="37" t="s">
        <v>2272</v>
      </c>
      <c r="C42" s="37" t="s">
        <v>2273</v>
      </c>
      <c r="D42" s="37" t="s">
        <v>2274</v>
      </c>
      <c r="E42" s="37" t="s">
        <v>2275</v>
      </c>
    </row>
    <row r="43" ht="14.25" customHeight="1">
      <c r="A43" s="37" t="s">
        <v>2199</v>
      </c>
      <c r="B43" s="37" t="s">
        <v>2276</v>
      </c>
      <c r="C43" s="37" t="s">
        <v>2277</v>
      </c>
      <c r="D43" s="37" t="s">
        <v>2278</v>
      </c>
      <c r="E43" s="37" t="s">
        <v>2279</v>
      </c>
    </row>
    <row r="44" ht="14.25" customHeight="1">
      <c r="A44" s="37" t="s">
        <v>1734</v>
      </c>
      <c r="B44" s="37" t="s">
        <v>2280</v>
      </c>
      <c r="C44" s="37" t="s">
        <v>2281</v>
      </c>
      <c r="D44" s="37" t="s">
        <v>2282</v>
      </c>
      <c r="E44" s="37" t="s">
        <v>2283</v>
      </c>
    </row>
    <row r="45" ht="14.25" customHeight="1">
      <c r="A45" s="37" t="s">
        <v>53</v>
      </c>
      <c r="B45" s="37" t="s">
        <v>2284</v>
      </c>
      <c r="C45" s="37" t="s">
        <v>2285</v>
      </c>
      <c r="D45" s="37" t="s">
        <v>2286</v>
      </c>
      <c r="E45" s="37" t="s">
        <v>2287</v>
      </c>
    </row>
    <row r="46" ht="14.25" customHeight="1">
      <c r="A46" s="37" t="s">
        <v>1470</v>
      </c>
      <c r="B46" s="37" t="s">
        <v>2288</v>
      </c>
      <c r="C46" s="37" t="s">
        <v>2289</v>
      </c>
      <c r="D46" s="37" t="s">
        <v>2290</v>
      </c>
      <c r="E46" s="37" t="s">
        <v>2291</v>
      </c>
    </row>
    <row r="47" ht="14.25" customHeight="1">
      <c r="A47" s="37" t="s">
        <v>1808</v>
      </c>
      <c r="B47" s="37" t="s">
        <v>2292</v>
      </c>
      <c r="C47" s="37" t="s">
        <v>2293</v>
      </c>
      <c r="D47" s="37" t="s">
        <v>2294</v>
      </c>
      <c r="E47" s="37" t="s">
        <v>2295</v>
      </c>
    </row>
    <row r="48" ht="14.25" customHeight="1">
      <c r="A48" s="37" t="s">
        <v>2296</v>
      </c>
      <c r="B48" s="37" t="s">
        <v>2297</v>
      </c>
      <c r="C48" s="37" t="s">
        <v>2298</v>
      </c>
      <c r="D48" s="37" t="s">
        <v>2299</v>
      </c>
      <c r="E48" s="37" t="s">
        <v>2300</v>
      </c>
    </row>
  </sheetData>
  <mergeCells>
    <mergeCell ref="A1:E1"/>
    <mergeCell ref="A3:E3"/>
    <mergeCell ref="A16:E16"/>
    <mergeCell ref="A29:E29"/>
    <mergeCell ref="A40:E4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BDD4851-284A-3DED-CC77-B77B0C395887}" mc:Ignorable="x14ac xr xr2 xr3">
  <dimension ref="A1:GR1000"/>
  <sheetViews>
    <sheetView topLeftCell="A1" workbookViewId="0">
      <selection activeCell="A1" sqref="A1:E1"/>
    </sheetView>
  </sheetViews>
  <sheetFormatPr defaultRowHeight="15" defaultColWidth="8.8515625" customHeight="1"/>
  <cols>
    <col min="1" max="1" width="28.57421875" customWidth="1"/>
    <col min="2" max="2" width="22.8515625" customWidth="1"/>
    <col min="3" max="3" width="35.7109375" customWidth="1"/>
    <col min="4" max="4" width="17.140625" customWidth="1"/>
    <col min="5" max="5" width="40.00390625" customWidth="1"/>
  </cols>
  <sheetData>
    <row r="1" ht="24" customHeight="1">
      <c r="A1" s="34" t="s">
        <v>2301</v>
      </c>
    </row>
    <row r="3" ht="15" customHeight="1">
      <c r="A3" s="38" t="s">
        <v>2302</v>
      </c>
    </row>
    <row r="4" ht="15" customHeight="1">
      <c r="A4" s="39" t="s">
        <v>204</v>
      </c>
      <c r="B4" s="39" t="s">
        <v>1558</v>
      </c>
      <c r="C4" s="39" t="s">
        <v>1427</v>
      </c>
      <c r="D4" s="39" t="s">
        <v>2303</v>
      </c>
      <c r="E4" s="39" t="s">
        <v>2304</v>
      </c>
    </row>
    <row r="5" ht="15" customHeight="1">
      <c r="A5" s="40" t="s">
        <v>245</v>
      </c>
      <c r="B5" s="40" t="s">
        <v>2305</v>
      </c>
      <c r="C5" s="40" t="s">
        <v>2306</v>
      </c>
      <c r="D5" s="40" t="s">
        <v>2307</v>
      </c>
      <c r="E5" s="40" t="s">
        <v>2308</v>
      </c>
    </row>
    <row r="6" ht="15" customHeight="1">
      <c r="A6" s="40" t="s">
        <v>469</v>
      </c>
      <c r="B6" s="40" t="s">
        <v>2305</v>
      </c>
      <c r="C6" s="40" t="s">
        <v>2309</v>
      </c>
      <c r="D6" s="40" t="s">
        <v>2307</v>
      </c>
      <c r="E6" s="40" t="s">
        <v>2310</v>
      </c>
    </row>
    <row r="7" ht="15" customHeight="1">
      <c r="A7" s="40" t="s">
        <v>292</v>
      </c>
      <c r="B7" s="40" t="s">
        <v>2305</v>
      </c>
      <c r="C7" s="40" t="s">
        <v>2311</v>
      </c>
      <c r="D7" s="40" t="s">
        <v>2307</v>
      </c>
      <c r="E7" s="40" t="s">
        <v>2312</v>
      </c>
    </row>
    <row r="8" ht="15" customHeight="1">
      <c r="A8" s="40" t="s">
        <v>2313</v>
      </c>
      <c r="B8" s="40" t="s">
        <v>2314</v>
      </c>
      <c r="C8" s="40" t="s">
        <v>2315</v>
      </c>
      <c r="D8" s="40" t="s">
        <v>2307</v>
      </c>
      <c r="E8" s="40" t="s">
        <v>2316</v>
      </c>
    </row>
    <row r="9" ht="15" customHeight="1">
      <c r="A9" s="40" t="s">
        <v>2317</v>
      </c>
      <c r="B9" s="40" t="s">
        <v>2318</v>
      </c>
      <c r="C9" s="40" t="s">
        <v>2319</v>
      </c>
      <c r="D9" s="40" t="s">
        <v>2320</v>
      </c>
      <c r="E9" s="40" t="s">
        <v>2321</v>
      </c>
    </row>
    <row r="10" ht="15" customHeight="1">
      <c r="A10" s="40" t="s">
        <v>2322</v>
      </c>
      <c r="B10" s="40" t="s">
        <v>2305</v>
      </c>
      <c r="C10" s="40" t="s">
        <v>2323</v>
      </c>
      <c r="D10" s="40" t="s">
        <v>2320</v>
      </c>
      <c r="E10" s="40" t="s">
        <v>2324</v>
      </c>
    </row>
    <row r="11" ht="15" customHeight="1">
      <c r="A11" s="40" t="s">
        <v>2325</v>
      </c>
      <c r="B11" s="40" t="s">
        <v>2305</v>
      </c>
      <c r="C11" s="40" t="s">
        <v>2326</v>
      </c>
      <c r="D11" s="40" t="s">
        <v>2320</v>
      </c>
      <c r="E11" s="40" t="s">
        <v>2327</v>
      </c>
    </row>
    <row r="12" ht="15" customHeight="1">
      <c r="A12" s="40" t="s">
        <v>2328</v>
      </c>
      <c r="B12" s="40" t="s">
        <v>2329</v>
      </c>
      <c r="C12" s="40" t="s">
        <v>2330</v>
      </c>
      <c r="D12" s="40" t="s">
        <v>2320</v>
      </c>
      <c r="E12" s="40" t="s">
        <v>2331</v>
      </c>
    </row>
    <row r="13" ht="15" customHeight="1">
      <c r="A13" s="40" t="s">
        <v>2332</v>
      </c>
      <c r="B13" s="40" t="s">
        <v>2305</v>
      </c>
      <c r="C13" s="40" t="s">
        <v>2333</v>
      </c>
      <c r="D13" s="40" t="s">
        <v>2320</v>
      </c>
      <c r="E13" s="40" t="s">
        <v>2334</v>
      </c>
    </row>
    <row r="14" ht="15" customHeight="1">
      <c r="A14" s="40" t="s">
        <v>275</v>
      </c>
      <c r="B14" s="40" t="s">
        <v>2305</v>
      </c>
      <c r="C14" s="40" t="s">
        <v>2335</v>
      </c>
      <c r="D14" s="40" t="s">
        <v>2320</v>
      </c>
      <c r="E14" s="40" t="s">
        <v>2336</v>
      </c>
    </row>
    <row r="15" ht="15" customHeight="1">
      <c r="A15" s="40" t="s">
        <v>2337</v>
      </c>
      <c r="B15" s="40" t="s">
        <v>2305</v>
      </c>
      <c r="C15" s="40" t="s">
        <v>2338</v>
      </c>
      <c r="D15" s="40" t="s">
        <v>2339</v>
      </c>
      <c r="E15" s="40" t="s">
        <v>2340</v>
      </c>
    </row>
    <row r="17" ht="15" customHeight="1">
      <c r="A17" s="38" t="s">
        <v>2341</v>
      </c>
    </row>
    <row r="18" ht="15" customHeight="1">
      <c r="A18" s="39" t="s">
        <v>204</v>
      </c>
      <c r="B18" s="39" t="s">
        <v>1558</v>
      </c>
      <c r="C18" s="39" t="s">
        <v>1427</v>
      </c>
      <c r="D18" s="39" t="s">
        <v>2303</v>
      </c>
      <c r="E18" s="39" t="s">
        <v>2304</v>
      </c>
    </row>
    <row r="19" ht="15" customHeight="1">
      <c r="A19" s="40" t="s">
        <v>566</v>
      </c>
      <c r="B19" s="40" t="s">
        <v>2342</v>
      </c>
      <c r="C19" s="40" t="s">
        <v>2343</v>
      </c>
      <c r="D19" s="40" t="s">
        <v>2320</v>
      </c>
      <c r="E19" s="40" t="s">
        <v>2344</v>
      </c>
    </row>
    <row r="20" ht="15" customHeight="1">
      <c r="A20" s="40" t="s">
        <v>1238</v>
      </c>
      <c r="B20" s="40" t="s">
        <v>2342</v>
      </c>
      <c r="C20" s="40" t="s">
        <v>2345</v>
      </c>
      <c r="D20" s="40" t="s">
        <v>2320</v>
      </c>
      <c r="E20" s="40" t="s">
        <v>2346</v>
      </c>
    </row>
    <row r="21" ht="15" customHeight="1">
      <c r="A21" s="40" t="s">
        <v>2347</v>
      </c>
      <c r="B21" s="40" t="s">
        <v>2342</v>
      </c>
      <c r="C21" s="40" t="s">
        <v>2348</v>
      </c>
      <c r="D21" s="40" t="s">
        <v>2320</v>
      </c>
      <c r="E21" s="40" t="s">
        <v>2349</v>
      </c>
    </row>
    <row r="22" ht="15" customHeight="1">
      <c r="A22" s="40" t="s">
        <v>2350</v>
      </c>
      <c r="B22" s="40" t="s">
        <v>2329</v>
      </c>
      <c r="C22" s="40" t="s">
        <v>2351</v>
      </c>
      <c r="D22" s="40" t="s">
        <v>2307</v>
      </c>
      <c r="E22" s="40" t="s">
        <v>2352</v>
      </c>
    </row>
    <row r="23" ht="15" customHeight="1">
      <c r="A23" s="40" t="s">
        <v>2353</v>
      </c>
      <c r="B23" s="40" t="s">
        <v>2354</v>
      </c>
      <c r="C23" s="40" t="s">
        <v>2355</v>
      </c>
      <c r="D23" s="40" t="s">
        <v>2320</v>
      </c>
      <c r="E23" s="40" t="s">
        <v>2356</v>
      </c>
    </row>
    <row r="24" ht="15" customHeight="1">
      <c r="A24" s="40" t="s">
        <v>2357</v>
      </c>
      <c r="B24" s="40" t="s">
        <v>2358</v>
      </c>
      <c r="C24" s="40" t="s">
        <v>2359</v>
      </c>
      <c r="D24" s="40" t="s">
        <v>2339</v>
      </c>
      <c r="E24" s="40" t="s">
        <v>1347</v>
      </c>
    </row>
    <row r="26" ht="15" customHeight="1">
      <c r="A26" s="38" t="s">
        <v>2360</v>
      </c>
    </row>
    <row r="27" ht="15" customHeight="1">
      <c r="A27" s="39" t="s">
        <v>187</v>
      </c>
      <c r="B27" s="39" t="s">
        <v>2361</v>
      </c>
      <c r="C27" s="39" t="s">
        <v>2362</v>
      </c>
      <c r="D27" s="39" t="s">
        <v>2303</v>
      </c>
      <c r="E27" s="39" t="s">
        <v>2304</v>
      </c>
    </row>
    <row r="28" ht="15" customHeight="1">
      <c r="A28" s="40" t="s">
        <v>235</v>
      </c>
      <c r="B28" s="40" t="s">
        <v>2363</v>
      </c>
      <c r="C28" s="40" t="s">
        <v>226</v>
      </c>
      <c r="D28" s="40" t="s">
        <v>2307</v>
      </c>
      <c r="E28" s="40" t="s">
        <v>1436</v>
      </c>
    </row>
    <row r="29" ht="15" customHeight="1">
      <c r="A29" s="40" t="s">
        <v>859</v>
      </c>
      <c r="B29" s="40" t="s">
        <v>2364</v>
      </c>
      <c r="C29" s="40" t="s">
        <v>226</v>
      </c>
      <c r="D29" s="40" t="s">
        <v>2307</v>
      </c>
      <c r="E29" s="40" t="s">
        <v>1440</v>
      </c>
    </row>
    <row r="30" ht="15" customHeight="1">
      <c r="A30" s="40" t="s">
        <v>2365</v>
      </c>
      <c r="B30" s="40" t="s">
        <v>2366</v>
      </c>
      <c r="C30" s="40" t="s">
        <v>226</v>
      </c>
      <c r="D30" s="40" t="s">
        <v>2307</v>
      </c>
      <c r="E30" s="40" t="s">
        <v>1449</v>
      </c>
    </row>
    <row r="31" ht="15" customHeight="1">
      <c r="A31" s="40" t="s">
        <v>298</v>
      </c>
      <c r="B31" s="40" t="s">
        <v>2367</v>
      </c>
      <c r="C31" s="40" t="s">
        <v>226</v>
      </c>
      <c r="D31" s="40" t="s">
        <v>2320</v>
      </c>
      <c r="E31" s="40" t="s">
        <v>1453</v>
      </c>
    </row>
    <row r="32" ht="15" customHeight="1">
      <c r="A32" s="40" t="s">
        <v>2368</v>
      </c>
      <c r="B32" s="40" t="s">
        <v>2369</v>
      </c>
      <c r="C32" s="40" t="s">
        <v>226</v>
      </c>
      <c r="D32" s="40" t="s">
        <v>2320</v>
      </c>
      <c r="E32" s="40" t="s">
        <v>1456</v>
      </c>
    </row>
    <row r="33" ht="15" customHeight="1">
      <c r="A33" s="40" t="s">
        <v>758</v>
      </c>
      <c r="B33" s="40" t="s">
        <v>2369</v>
      </c>
      <c r="C33" s="40" t="s">
        <v>226</v>
      </c>
      <c r="D33" s="40" t="s">
        <v>2307</v>
      </c>
      <c r="E33" s="40" t="s">
        <v>1462</v>
      </c>
    </row>
    <row r="34" ht="15" customHeight="1">
      <c r="A34" s="40" t="s">
        <v>770</v>
      </c>
      <c r="B34" s="40" t="s">
        <v>2370</v>
      </c>
      <c r="C34" s="40" t="s">
        <v>226</v>
      </c>
      <c r="D34" s="40" t="s">
        <v>2307</v>
      </c>
      <c r="E34" s="40" t="s">
        <v>1466</v>
      </c>
    </row>
    <row r="35" ht="15" customHeight="1">
      <c r="A35" s="40" t="s">
        <v>1214</v>
      </c>
      <c r="B35" s="40" t="s">
        <v>2371</v>
      </c>
      <c r="C35" s="40" t="s">
        <v>226</v>
      </c>
      <c r="D35" s="40" t="s">
        <v>2320</v>
      </c>
      <c r="E35" s="40" t="s">
        <v>1553</v>
      </c>
    </row>
    <row r="36" ht="15" customHeight="1">
      <c r="A36" s="40" t="s">
        <v>667</v>
      </c>
      <c r="B36" s="40" t="s">
        <v>2372</v>
      </c>
      <c r="C36" s="40" t="s">
        <v>226</v>
      </c>
      <c r="D36" s="40" t="s">
        <v>2307</v>
      </c>
      <c r="E36" s="40" t="s">
        <v>1480</v>
      </c>
    </row>
    <row r="37" ht="15" customHeight="1">
      <c r="A37" s="40" t="s">
        <v>681</v>
      </c>
      <c r="B37" s="40" t="s">
        <v>2373</v>
      </c>
      <c r="C37" s="40" t="s">
        <v>226</v>
      </c>
      <c r="D37" s="40" t="s">
        <v>2307</v>
      </c>
      <c r="E37" s="40" t="s">
        <v>1485</v>
      </c>
    </row>
    <row r="38" ht="15" customHeight="1">
      <c r="A38" s="40" t="s">
        <v>413</v>
      </c>
      <c r="B38" s="40" t="s">
        <v>2374</v>
      </c>
      <c r="C38" s="40" t="s">
        <v>226</v>
      </c>
      <c r="D38" s="40" t="s">
        <v>2307</v>
      </c>
      <c r="E38" s="40" t="s">
        <v>1497</v>
      </c>
    </row>
    <row r="40" ht="15" customHeight="1">
      <c r="A40" s="38" t="s">
        <v>2375</v>
      </c>
    </row>
    <row r="41" ht="15" customHeight="1">
      <c r="A41" s="39" t="s">
        <v>204</v>
      </c>
      <c r="B41" s="39" t="s">
        <v>1558</v>
      </c>
      <c r="C41" s="39" t="s">
        <v>2376</v>
      </c>
      <c r="D41" s="39" t="s">
        <v>2377</v>
      </c>
      <c r="E41" s="39" t="s">
        <v>2304</v>
      </c>
    </row>
    <row r="42" ht="15" customHeight="1">
      <c r="A42" s="40" t="s">
        <v>2378</v>
      </c>
      <c r="B42" s="40" t="s">
        <v>2379</v>
      </c>
      <c r="C42" s="40" t="s">
        <v>2380</v>
      </c>
      <c r="D42" s="40" t="s">
        <v>2307</v>
      </c>
      <c r="E42" s="40" t="s">
        <v>1525</v>
      </c>
    </row>
    <row r="43" ht="15" customHeight="1">
      <c r="A43" s="40" t="s">
        <v>1214</v>
      </c>
      <c r="B43" s="40" t="s">
        <v>2381</v>
      </c>
      <c r="C43" s="40" t="s">
        <v>2382</v>
      </c>
      <c r="D43" s="40" t="s">
        <v>2307</v>
      </c>
      <c r="E43" s="40" t="s">
        <v>1567</v>
      </c>
    </row>
    <row r="44" ht="15" customHeight="1">
      <c r="A44" s="40" t="s">
        <v>1569</v>
      </c>
      <c r="B44" s="40" t="s">
        <v>2383</v>
      </c>
      <c r="C44" s="40" t="s">
        <v>2384</v>
      </c>
      <c r="D44" s="40" t="s">
        <v>2320</v>
      </c>
      <c r="E44" s="40" t="s">
        <v>1574</v>
      </c>
    </row>
    <row r="45" ht="15" customHeight="1">
      <c r="A45" s="40" t="s">
        <v>1576</v>
      </c>
      <c r="B45" s="40" t="s">
        <v>2383</v>
      </c>
      <c r="C45" s="40" t="s">
        <v>2385</v>
      </c>
      <c r="D45" s="40" t="s">
        <v>2320</v>
      </c>
      <c r="E45" s="40" t="s">
        <v>1579</v>
      </c>
    </row>
    <row r="46" ht="15" customHeight="1">
      <c r="A46" s="40" t="s">
        <v>1320</v>
      </c>
      <c r="B46" s="40" t="s">
        <v>1613</v>
      </c>
      <c r="C46" s="40" t="s">
        <v>2386</v>
      </c>
      <c r="D46" s="40" t="s">
        <v>2339</v>
      </c>
      <c r="E46" s="40" t="s">
        <v>2387</v>
      </c>
    </row>
    <row r="47" ht="15" customHeight="1">
      <c r="A47" s="40" t="s">
        <v>1625</v>
      </c>
      <c r="B47" s="40" t="s">
        <v>2379</v>
      </c>
      <c r="C47" s="40" t="s">
        <v>2388</v>
      </c>
      <c r="D47" s="40" t="s">
        <v>2320</v>
      </c>
      <c r="E47" s="40" t="s">
        <v>1628</v>
      </c>
    </row>
    <row r="48" ht="15" customHeight="1">
      <c r="A48" s="40" t="s">
        <v>1581</v>
      </c>
      <c r="B48" s="40" t="s">
        <v>2389</v>
      </c>
      <c r="C48" s="40" t="s">
        <v>2390</v>
      </c>
      <c r="D48" s="40" t="s">
        <v>2320</v>
      </c>
      <c r="E48" s="40" t="s">
        <v>1584</v>
      </c>
    </row>
    <row r="50" ht="15" customHeight="1">
      <c r="A50" s="38" t="s">
        <v>2391</v>
      </c>
    </row>
    <row r="51" ht="15" customHeight="1">
      <c r="A51" s="39" t="s">
        <v>2392</v>
      </c>
      <c r="B51" s="39" t="s">
        <v>2393</v>
      </c>
      <c r="C51" s="39" t="s">
        <v>82</v>
      </c>
      <c r="D51" s="39" t="s">
        <v>2394</v>
      </c>
      <c r="E51" s="39" t="s">
        <v>2395</v>
      </c>
    </row>
    <row r="52" ht="15" customHeight="1">
      <c r="A52" s="40" t="s">
        <v>2396</v>
      </c>
      <c r="B52" s="40" t="s">
        <v>2397</v>
      </c>
      <c r="C52" s="40" t="s">
        <v>2398</v>
      </c>
      <c r="D52" s="40" t="s">
        <v>2399</v>
      </c>
      <c r="E52" s="40" t="s">
        <v>2400</v>
      </c>
    </row>
    <row r="53" ht="15" customHeight="1">
      <c r="A53" s="40" t="s">
        <v>2149</v>
      </c>
      <c r="B53" s="40" t="s">
        <v>2401</v>
      </c>
      <c r="C53" s="40" t="s">
        <v>2402</v>
      </c>
      <c r="D53" s="40" t="s">
        <v>2403</v>
      </c>
      <c r="E53" s="40" t="s">
        <v>2404</v>
      </c>
    </row>
    <row r="54" ht="15" customHeight="1">
      <c r="A54" s="40" t="s">
        <v>2405</v>
      </c>
      <c r="B54" s="40" t="s">
        <v>2401</v>
      </c>
      <c r="C54" s="40" t="s">
        <v>2406</v>
      </c>
      <c r="D54" s="40" t="s">
        <v>2407</v>
      </c>
      <c r="E54" s="40" t="s">
        <v>2408</v>
      </c>
    </row>
    <row r="55" ht="15" customHeight="1">
      <c r="A55" s="40" t="s">
        <v>1246</v>
      </c>
      <c r="B55" s="40" t="s">
        <v>2409</v>
      </c>
      <c r="C55" s="40" t="s">
        <v>2410</v>
      </c>
      <c r="D55" s="40" t="s">
        <v>2411</v>
      </c>
      <c r="E55" s="40" t="s">
        <v>2412</v>
      </c>
    </row>
    <row r="56" ht="15" customHeight="1">
      <c r="A56" s="40" t="s">
        <v>2413</v>
      </c>
      <c r="B56" s="40" t="s">
        <v>2414</v>
      </c>
      <c r="C56" s="40" t="s">
        <v>2415</v>
      </c>
      <c r="D56" s="40" t="s">
        <v>2416</v>
      </c>
      <c r="E56" s="40" t="s">
        <v>2417</v>
      </c>
    </row>
    <row r="57" ht="15" customHeight="1">
      <c r="A57" s="40" t="s">
        <v>2418</v>
      </c>
      <c r="B57" s="40" t="s">
        <v>2414</v>
      </c>
      <c r="C57" s="40" t="s">
        <v>2419</v>
      </c>
      <c r="D57" s="40" t="s">
        <v>2420</v>
      </c>
      <c r="E57" s="40" t="s">
        <v>2421</v>
      </c>
    </row>
  </sheetData>
  <mergeCells>
    <mergeCell ref="A1:E1"/>
    <mergeCell ref="A3:E3"/>
    <mergeCell ref="A17:E17"/>
    <mergeCell ref="A26:E26"/>
    <mergeCell ref="A40:E40"/>
    <mergeCell ref="A50:E5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DBDCB3F-C185-E537-99A1-89F8A1E18F77}" mc:Ignorable="x14ac xr xr2 xr3">
  <dimension ref="A1:GR1000"/>
  <sheetViews>
    <sheetView topLeftCell="A1" workbookViewId="0">
      <pane ySplit="4" topLeftCell="A5" activePane="bottomLeft" state="frozen"/>
      <selection pane="bottomLeft" activeCell="A1" sqref="A1:H1"/>
    </sheetView>
  </sheetViews>
  <sheetFormatPr defaultRowHeight="15" defaultColWidth="8.8515625" customHeight="1"/>
  <cols>
    <col min="1" max="1" width="11.421875" customWidth="1"/>
    <col min="2" max="2" width="28.57421875" customWidth="1"/>
    <col min="3" max="3" width="21.421875" customWidth="1"/>
    <col min="4" max="4" width="35.7109375" customWidth="1"/>
    <col min="5" max="7" width="28.57421875" customWidth="1"/>
    <col min="8" max="8" width="42.8515625" customWidth="1"/>
  </cols>
  <sheetData>
    <row r="1" ht="24" customHeight="1">
      <c r="A1" s="34" t="s">
        <v>2422</v>
      </c>
    </row>
    <row r="2" ht="15" customHeight="1">
      <c r="A2" s="41" t="s">
        <v>2423</v>
      </c>
    </row>
    <row r="4" ht="24" customHeight="1">
      <c r="A4" s="15" t="s">
        <v>2424</v>
      </c>
      <c r="B4" s="15" t="s">
        <v>2425</v>
      </c>
      <c r="C4" s="15" t="s">
        <v>28</v>
      </c>
      <c r="D4" s="15" t="s">
        <v>2426</v>
      </c>
      <c r="E4" s="15" t="s">
        <v>2427</v>
      </c>
      <c r="F4" s="15" t="s">
        <v>2428</v>
      </c>
      <c r="G4" s="15" t="s">
        <v>2429</v>
      </c>
      <c r="H4" s="15" t="s">
        <v>2430</v>
      </c>
    </row>
    <row r="5" ht="14.25" customHeight="1">
      <c r="A5" s="42" t="s">
        <v>213</v>
      </c>
      <c r="B5" s="42" t="s">
        <v>214</v>
      </c>
      <c r="C5" s="42" t="s">
        <v>32</v>
      </c>
      <c r="D5" s="42" t="s">
        <v>2431</v>
      </c>
      <c r="E5" s="42" t="s">
        <v>2432</v>
      </c>
      <c r="F5" s="42"/>
      <c r="G5" s="42" t="s">
        <v>2433</v>
      </c>
      <c r="H5" s="42" t="s">
        <v>2434</v>
      </c>
    </row>
    <row r="6" ht="14.25" customHeight="1">
      <c r="A6" s="43" t="s">
        <v>233</v>
      </c>
      <c r="B6" s="43" t="s">
        <v>234</v>
      </c>
      <c r="C6" s="43" t="s">
        <v>32</v>
      </c>
      <c r="D6" s="43" t="s">
        <v>2435</v>
      </c>
      <c r="E6" s="43" t="s">
        <v>2436</v>
      </c>
      <c r="F6" s="43"/>
      <c r="G6" s="43" t="s">
        <v>2437</v>
      </c>
      <c r="H6" s="43" t="s">
        <v>2438</v>
      </c>
    </row>
    <row r="7" ht="14.25" customHeight="1">
      <c r="A7" s="42" t="s">
        <v>249</v>
      </c>
      <c r="B7" s="42" t="s">
        <v>250</v>
      </c>
      <c r="C7" s="42" t="s">
        <v>32</v>
      </c>
      <c r="D7" s="42" t="s">
        <v>2439</v>
      </c>
      <c r="E7" s="42" t="s">
        <v>2440</v>
      </c>
      <c r="F7" s="42"/>
      <c r="G7" s="42" t="s">
        <v>2441</v>
      </c>
      <c r="H7" s="42" t="s">
        <v>2442</v>
      </c>
    </row>
    <row r="8" ht="14.25" customHeight="1">
      <c r="A8" s="43" t="s">
        <v>296</v>
      </c>
      <c r="B8" s="43" t="s">
        <v>297</v>
      </c>
      <c r="C8" s="43" t="s">
        <v>300</v>
      </c>
      <c r="D8" s="43" t="s">
        <v>2443</v>
      </c>
      <c r="E8" s="43" t="s">
        <v>2444</v>
      </c>
      <c r="F8" s="43"/>
      <c r="G8" s="43" t="s">
        <v>2445</v>
      </c>
      <c r="H8" s="43" t="s">
        <v>2446</v>
      </c>
    </row>
    <row r="9" ht="14.25" customHeight="1">
      <c r="A9" s="42" t="s">
        <v>342</v>
      </c>
      <c r="B9" s="42" t="s">
        <v>312</v>
      </c>
      <c r="C9" s="42" t="s">
        <v>300</v>
      </c>
      <c r="D9" s="42" t="s">
        <v>2447</v>
      </c>
      <c r="E9" s="42" t="s">
        <v>520</v>
      </c>
      <c r="F9" s="42" t="s">
        <v>2448</v>
      </c>
      <c r="G9" s="42" t="s">
        <v>2449</v>
      </c>
      <c r="H9" s="42" t="s">
        <v>2450</v>
      </c>
    </row>
    <row r="10" ht="14.25" customHeight="1">
      <c r="A10" s="43" t="s">
        <v>370</v>
      </c>
      <c r="B10" s="43" t="s">
        <v>2451</v>
      </c>
      <c r="C10" s="43" t="s">
        <v>38</v>
      </c>
      <c r="D10" s="43" t="s">
        <v>2452</v>
      </c>
      <c r="E10" s="43" t="s">
        <v>2453</v>
      </c>
      <c r="F10" s="43" t="s">
        <v>2454</v>
      </c>
      <c r="G10" s="43" t="s">
        <v>2455</v>
      </c>
      <c r="H10" s="43" t="s">
        <v>2456</v>
      </c>
    </row>
    <row r="11" ht="14.25" customHeight="1">
      <c r="A11" s="42" t="s">
        <v>435</v>
      </c>
      <c r="B11" s="42" t="s">
        <v>497</v>
      </c>
      <c r="C11" s="42" t="s">
        <v>38</v>
      </c>
      <c r="D11" s="42" t="s">
        <v>2457</v>
      </c>
      <c r="E11" s="42" t="s">
        <v>520</v>
      </c>
      <c r="F11" s="42"/>
      <c r="G11" s="42" t="s">
        <v>2458</v>
      </c>
      <c r="H11" s="42" t="s">
        <v>2459</v>
      </c>
    </row>
    <row r="12" ht="14.25" customHeight="1">
      <c r="A12" s="43" t="s">
        <v>569</v>
      </c>
      <c r="B12" s="43" t="s">
        <v>570</v>
      </c>
      <c r="C12" s="43" t="s">
        <v>41</v>
      </c>
      <c r="D12" s="43" t="s">
        <v>2460</v>
      </c>
      <c r="E12" s="43" t="s">
        <v>2461</v>
      </c>
      <c r="F12" s="43" t="s">
        <v>2462</v>
      </c>
      <c r="G12" s="43" t="s">
        <v>2463</v>
      </c>
      <c r="H12" s="43" t="s">
        <v>2464</v>
      </c>
    </row>
    <row r="13" ht="14.25" customHeight="1">
      <c r="A13" s="42" t="s">
        <v>532</v>
      </c>
      <c r="B13" s="42" t="s">
        <v>533</v>
      </c>
      <c r="C13" s="42" t="s">
        <v>41</v>
      </c>
      <c r="D13" s="42" t="s">
        <v>2465</v>
      </c>
      <c r="E13" s="42" t="s">
        <v>744</v>
      </c>
      <c r="F13" s="42" t="s">
        <v>2466</v>
      </c>
      <c r="G13" s="42" t="s">
        <v>2467</v>
      </c>
      <c r="H13" s="42" t="s">
        <v>2468</v>
      </c>
    </row>
    <row r="14" ht="14.25" customHeight="1">
      <c r="A14" s="43" t="s">
        <v>665</v>
      </c>
      <c r="B14" s="43" t="s">
        <v>666</v>
      </c>
      <c r="C14" s="43" t="s">
        <v>654</v>
      </c>
      <c r="D14" s="43" t="s">
        <v>2469</v>
      </c>
      <c r="E14" s="43" t="s">
        <v>744</v>
      </c>
      <c r="F14" s="43" t="s">
        <v>2470</v>
      </c>
      <c r="G14" s="43" t="s">
        <v>2471</v>
      </c>
      <c r="H14" s="43" t="s">
        <v>2472</v>
      </c>
    </row>
    <row r="15" ht="14.25" customHeight="1">
      <c r="A15" s="42" t="s">
        <v>756</v>
      </c>
      <c r="B15" s="42" t="s">
        <v>757</v>
      </c>
      <c r="C15" s="42" t="s">
        <v>760</v>
      </c>
      <c r="D15" s="42" t="s">
        <v>2473</v>
      </c>
      <c r="E15" s="42"/>
      <c r="F15" s="42"/>
      <c r="G15" s="42" t="s">
        <v>2474</v>
      </c>
      <c r="H15" s="42" t="s">
        <v>2475</v>
      </c>
    </row>
    <row r="16" ht="14.25" customHeight="1">
      <c r="A16" s="43" t="s">
        <v>804</v>
      </c>
      <c r="B16" s="43" t="s">
        <v>805</v>
      </c>
      <c r="C16" s="43" t="s">
        <v>760</v>
      </c>
      <c r="D16" s="43" t="s">
        <v>2476</v>
      </c>
      <c r="E16" s="43" t="s">
        <v>2477</v>
      </c>
      <c r="F16" s="43"/>
      <c r="G16" s="43" t="s">
        <v>819</v>
      </c>
      <c r="H16" s="43" t="s">
        <v>2478</v>
      </c>
    </row>
    <row r="17" ht="14.25" customHeight="1">
      <c r="A17" s="42" t="s">
        <v>857</v>
      </c>
      <c r="B17" s="42" t="s">
        <v>858</v>
      </c>
      <c r="C17" s="42" t="s">
        <v>861</v>
      </c>
      <c r="D17" s="42" t="s">
        <v>2479</v>
      </c>
      <c r="E17" s="42"/>
      <c r="F17" s="42"/>
      <c r="G17" s="42" t="s">
        <v>2480</v>
      </c>
      <c r="H17" s="42" t="s">
        <v>2481</v>
      </c>
    </row>
    <row r="18" ht="14.25" customHeight="1">
      <c r="A18" s="43" t="s">
        <v>896</v>
      </c>
      <c r="B18" s="43" t="s">
        <v>897</v>
      </c>
      <c r="C18" s="43" t="s">
        <v>861</v>
      </c>
      <c r="D18" s="43" t="s">
        <v>2482</v>
      </c>
      <c r="E18" s="43"/>
      <c r="F18" s="43"/>
      <c r="G18" s="43" t="s">
        <v>2483</v>
      </c>
      <c r="H18" s="43" t="s">
        <v>2484</v>
      </c>
    </row>
    <row r="19" ht="14.25" customHeight="1">
      <c r="A19" s="42" t="s">
        <v>961</v>
      </c>
      <c r="B19" s="42" t="s">
        <v>962</v>
      </c>
      <c r="C19" s="42" t="s">
        <v>53</v>
      </c>
      <c r="D19" s="42" t="s">
        <v>2485</v>
      </c>
      <c r="E19" s="42" t="s">
        <v>1044</v>
      </c>
      <c r="F19" s="42"/>
      <c r="G19" s="42" t="s">
        <v>2486</v>
      </c>
      <c r="H19" s="42" t="s">
        <v>2487</v>
      </c>
    </row>
    <row r="20" ht="14.25" customHeight="1">
      <c r="A20" s="43" t="s">
        <v>1056</v>
      </c>
      <c r="B20" s="43" t="s">
        <v>1023</v>
      </c>
      <c r="C20" s="43" t="s">
        <v>1025</v>
      </c>
      <c r="D20" s="43" t="s">
        <v>2488</v>
      </c>
      <c r="E20" s="43"/>
      <c r="F20" s="43"/>
      <c r="G20" s="43" t="s">
        <v>2489</v>
      </c>
      <c r="H20" s="43" t="s">
        <v>2490</v>
      </c>
    </row>
    <row r="21" ht="14.25" customHeight="1">
      <c r="A21" s="42" t="s">
        <v>1095</v>
      </c>
      <c r="B21" s="42" t="s">
        <v>2491</v>
      </c>
      <c r="C21" s="42" t="s">
        <v>1025</v>
      </c>
      <c r="D21" s="42" t="s">
        <v>2492</v>
      </c>
      <c r="E21" s="42" t="s">
        <v>636</v>
      </c>
      <c r="F21" s="42"/>
      <c r="G21" s="42" t="s">
        <v>1106</v>
      </c>
      <c r="H21" s="42" t="s">
        <v>2493</v>
      </c>
    </row>
    <row r="22" ht="14.25" customHeight="1">
      <c r="A22" s="43" t="s">
        <v>1119</v>
      </c>
      <c r="B22" s="43" t="s">
        <v>1120</v>
      </c>
      <c r="C22" s="43" t="s">
        <v>58</v>
      </c>
      <c r="D22" s="43" t="s">
        <v>2494</v>
      </c>
      <c r="E22" s="43" t="s">
        <v>2495</v>
      </c>
      <c r="F22" s="43"/>
      <c r="G22" s="43" t="s">
        <v>1131</v>
      </c>
      <c r="H22" s="43" t="s">
        <v>2496</v>
      </c>
    </row>
    <row r="23" ht="14.25" customHeight="1">
      <c r="A23" s="42" t="s">
        <v>1082</v>
      </c>
      <c r="B23" s="42" t="s">
        <v>1085</v>
      </c>
      <c r="C23" s="42" t="s">
        <v>1025</v>
      </c>
      <c r="D23" s="42" t="s">
        <v>2497</v>
      </c>
      <c r="E23" s="42" t="s">
        <v>1095</v>
      </c>
      <c r="F23" s="42"/>
      <c r="G23" s="42" t="s">
        <v>1095</v>
      </c>
      <c r="H23" s="42" t="s">
        <v>2498</v>
      </c>
    </row>
    <row r="24" ht="14.25" customHeight="1">
      <c r="A24" s="43" t="s">
        <v>591</v>
      </c>
      <c r="B24" s="43" t="s">
        <v>592</v>
      </c>
      <c r="C24" s="43" t="s">
        <v>41</v>
      </c>
      <c r="D24" s="43" t="s">
        <v>2499</v>
      </c>
      <c r="E24" s="43" t="s">
        <v>744</v>
      </c>
      <c r="F24" s="43" t="s">
        <v>2500</v>
      </c>
      <c r="G24" s="43" t="s">
        <v>2501</v>
      </c>
      <c r="H24" s="43" t="s">
        <v>2502</v>
      </c>
    </row>
    <row r="25" ht="14.25" customHeight="1">
      <c r="A25" s="42" t="s">
        <v>731</v>
      </c>
      <c r="B25" s="42" t="s">
        <v>732</v>
      </c>
      <c r="C25" s="42" t="s">
        <v>654</v>
      </c>
      <c r="D25" s="42" t="s">
        <v>2503</v>
      </c>
      <c r="E25" s="42"/>
      <c r="F25" s="42"/>
      <c r="G25" s="42" t="s">
        <v>717</v>
      </c>
      <c r="H25" s="42" t="s">
        <v>2504</v>
      </c>
    </row>
  </sheetData>
  <mergeCells>
    <mergeCell ref="A1:H1"/>
    <mergeCell ref="A2:H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61A162-2892-5FCD-EF63-138AF59214BD}" mc:Ignorable="x14ac xr xr2 xr3">
  <dimension ref="A1:GR1000"/>
  <sheetViews>
    <sheetView topLeftCell="A30" workbookViewId="0">
      <selection activeCell="A1" sqref="A1:F1"/>
    </sheetView>
  </sheetViews>
  <sheetFormatPr defaultRowHeight="15" defaultColWidth="8.8515625" customHeight="1"/>
  <cols>
    <col min="1" max="1" width="17.140625" customWidth="1"/>
    <col min="2" max="2" width="35.7109375" customWidth="1"/>
    <col min="3" max="3" width="42.8515625" customWidth="1"/>
    <col min="4" max="4" width="35.7109375" customWidth="1"/>
    <col min="5" max="6" width="21.421875" customWidth="1"/>
  </cols>
  <sheetData>
    <row r="1" ht="27" customHeight="1">
      <c r="A1" s="34" t="s">
        <v>2505</v>
      </c>
    </row>
    <row r="2" ht="18" customHeight="1">
      <c r="A2" s="44" t="s">
        <v>2506</v>
      </c>
    </row>
    <row r="4" ht="21" customHeight="1">
      <c r="A4" s="45" t="s">
        <v>2507</v>
      </c>
    </row>
    <row r="5" ht="30" customHeight="1">
      <c r="A5" s="46" t="s">
        <v>1558</v>
      </c>
      <c r="B5" s="46" t="s">
        <v>82</v>
      </c>
      <c r="C5" s="46" t="s">
        <v>2508</v>
      </c>
      <c r="D5" s="46" t="s">
        <v>2509</v>
      </c>
      <c r="E5" s="46" t="s">
        <v>2510</v>
      </c>
      <c r="F5" s="46" t="s">
        <v>2511</v>
      </c>
    </row>
    <row r="6" ht="15" customHeight="1">
      <c r="A6" s="17" t="s">
        <v>2512</v>
      </c>
      <c r="B6" s="17" t="s">
        <v>2513</v>
      </c>
      <c r="C6" s="17" t="s">
        <v>2514</v>
      </c>
      <c r="D6" s="17" t="s">
        <v>2515</v>
      </c>
      <c r="E6" s="17" t="s">
        <v>2516</v>
      </c>
      <c r="F6" s="17" t="s">
        <v>2517</v>
      </c>
    </row>
    <row r="7" ht="14.25" customHeight="1">
      <c r="A7" s="47" t="s">
        <v>2518</v>
      </c>
      <c r="B7" s="47" t="s">
        <v>2519</v>
      </c>
      <c r="C7" s="47" t="s">
        <v>2520</v>
      </c>
      <c r="D7" s="47" t="s">
        <v>2521</v>
      </c>
      <c r="E7" s="47" t="s">
        <v>2522</v>
      </c>
      <c r="F7" s="47" t="s">
        <v>2523</v>
      </c>
    </row>
    <row r="8" ht="15" customHeight="1">
      <c r="A8" s="17" t="s">
        <v>2524</v>
      </c>
      <c r="B8" s="17" t="s">
        <v>2525</v>
      </c>
      <c r="C8" s="17" t="s">
        <v>2526</v>
      </c>
      <c r="D8" s="17" t="s">
        <v>2527</v>
      </c>
      <c r="E8" s="17" t="s">
        <v>2528</v>
      </c>
      <c r="F8" s="17" t="s">
        <v>2529</v>
      </c>
    </row>
    <row r="9" ht="14.25" customHeight="1">
      <c r="A9" s="47" t="s">
        <v>2530</v>
      </c>
      <c r="B9" s="47" t="s">
        <v>2531</v>
      </c>
      <c r="C9" s="47" t="s">
        <v>2532</v>
      </c>
      <c r="D9" s="47" t="s">
        <v>2533</v>
      </c>
      <c r="E9" s="47" t="s">
        <v>2534</v>
      </c>
      <c r="F9" s="47" t="s">
        <v>2535</v>
      </c>
    </row>
    <row r="10" ht="15" customHeight="1">
      <c r="A10" s="17" t="s">
        <v>2536</v>
      </c>
      <c r="B10" s="17" t="s">
        <v>2537</v>
      </c>
      <c r="C10" s="17" t="s">
        <v>2538</v>
      </c>
      <c r="D10" s="17" t="s">
        <v>2539</v>
      </c>
      <c r="E10" s="17" t="s">
        <v>2540</v>
      </c>
      <c r="F10" s="17" t="s">
        <v>1313</v>
      </c>
    </row>
    <row r="11" ht="14.25" customHeight="1">
      <c r="A11" s="47" t="s">
        <v>2541</v>
      </c>
      <c r="B11" s="47" t="s">
        <v>2542</v>
      </c>
      <c r="C11" s="47" t="s">
        <v>2543</v>
      </c>
      <c r="D11" s="47" t="s">
        <v>2544</v>
      </c>
      <c r="E11" s="47" t="s">
        <v>2522</v>
      </c>
      <c r="F11" s="47" t="s">
        <v>2545</v>
      </c>
    </row>
    <row r="12" ht="15" customHeight="1">
      <c r="A12" s="17" t="s">
        <v>2546</v>
      </c>
      <c r="B12" s="17" t="s">
        <v>2547</v>
      </c>
      <c r="C12" s="17" t="s">
        <v>2548</v>
      </c>
      <c r="D12" s="17" t="s">
        <v>2549</v>
      </c>
      <c r="E12" s="17" t="s">
        <v>2550</v>
      </c>
      <c r="F12" s="17" t="s">
        <v>2551</v>
      </c>
    </row>
    <row r="13" ht="14.25" customHeight="1">
      <c r="A13" s="47" t="s">
        <v>2552</v>
      </c>
      <c r="B13" s="47" t="s">
        <v>2553</v>
      </c>
      <c r="C13" s="47" t="s">
        <v>2554</v>
      </c>
      <c r="D13" s="47" t="s">
        <v>2555</v>
      </c>
      <c r="E13" s="47" t="s">
        <v>2556</v>
      </c>
      <c r="F13" s="47" t="s">
        <v>2529</v>
      </c>
    </row>
    <row r="14" ht="15" customHeight="1">
      <c r="A14" s="17" t="s">
        <v>2557</v>
      </c>
      <c r="B14" s="17" t="s">
        <v>2558</v>
      </c>
      <c r="C14" s="17" t="s">
        <v>2559</v>
      </c>
      <c r="D14" s="17" t="s">
        <v>2560</v>
      </c>
      <c r="E14" s="17" t="s">
        <v>2561</v>
      </c>
      <c r="F14" s="17" t="s">
        <v>2551</v>
      </c>
    </row>
    <row r="15" ht="14.25" customHeight="1">
      <c r="A15" s="47" t="s">
        <v>985</v>
      </c>
      <c r="B15" s="47" t="s">
        <v>2562</v>
      </c>
      <c r="C15" s="47" t="s">
        <v>2563</v>
      </c>
      <c r="D15" s="47" t="s">
        <v>2564</v>
      </c>
      <c r="E15" s="47" t="s">
        <v>2565</v>
      </c>
      <c r="F15" s="47" t="s">
        <v>2566</v>
      </c>
    </row>
    <row r="20" ht="21" customHeight="1">
      <c r="A20" s="45" t="s">
        <v>2567</v>
      </c>
    </row>
    <row r="21" ht="30" customHeight="1">
      <c r="A21" s="46" t="s">
        <v>1989</v>
      </c>
      <c r="B21" s="46" t="s">
        <v>2568</v>
      </c>
      <c r="C21" s="46" t="s">
        <v>2569</v>
      </c>
      <c r="D21" s="46" t="s">
        <v>2570</v>
      </c>
      <c r="E21" s="46" t="s">
        <v>2571</v>
      </c>
      <c r="F21" s="46" t="s">
        <v>2141</v>
      </c>
    </row>
    <row r="22" ht="15" customHeight="1">
      <c r="A22" s="17" t="s">
        <v>2572</v>
      </c>
      <c r="B22" s="17" t="s">
        <v>2573</v>
      </c>
      <c r="C22" s="17" t="s">
        <v>2574</v>
      </c>
      <c r="D22" s="17" t="s">
        <v>2575</v>
      </c>
      <c r="E22" s="17" t="s">
        <v>2576</v>
      </c>
      <c r="F22" s="17" t="s">
        <v>2577</v>
      </c>
    </row>
    <row r="23" ht="14.25" customHeight="1">
      <c r="A23" s="47" t="s">
        <v>2578</v>
      </c>
      <c r="B23" s="47" t="s">
        <v>2579</v>
      </c>
      <c r="C23" s="47" t="s">
        <v>2580</v>
      </c>
      <c r="D23" s="47" t="s">
        <v>2581</v>
      </c>
      <c r="E23" s="47" t="s">
        <v>2582</v>
      </c>
      <c r="F23" s="47" t="s">
        <v>2583</v>
      </c>
    </row>
    <row r="24" ht="15" customHeight="1">
      <c r="A24" s="17" t="s">
        <v>2584</v>
      </c>
      <c r="B24" s="17" t="s">
        <v>2585</v>
      </c>
      <c r="C24" s="17" t="s">
        <v>2586</v>
      </c>
      <c r="D24" s="17" t="s">
        <v>2587</v>
      </c>
      <c r="E24" s="17" t="s">
        <v>2588</v>
      </c>
      <c r="F24" s="17" t="s">
        <v>2589</v>
      </c>
    </row>
    <row r="25" ht="14.25" customHeight="1">
      <c r="A25" s="47" t="s">
        <v>2590</v>
      </c>
      <c r="B25" s="47" t="s">
        <v>2591</v>
      </c>
      <c r="C25" s="47" t="s">
        <v>2592</v>
      </c>
      <c r="D25" s="47" t="s">
        <v>2593</v>
      </c>
      <c r="E25" s="47" t="s">
        <v>2594</v>
      </c>
      <c r="F25" s="47" t="s">
        <v>2595</v>
      </c>
    </row>
    <row r="26" ht="15" customHeight="1">
      <c r="A26" s="17" t="s">
        <v>2596</v>
      </c>
      <c r="B26" s="17" t="s">
        <v>2597</v>
      </c>
      <c r="C26" s="17" t="s">
        <v>2598</v>
      </c>
      <c r="D26" s="17" t="s">
        <v>2599</v>
      </c>
      <c r="E26" s="17" t="s">
        <v>2600</v>
      </c>
      <c r="F26" s="17" t="s">
        <v>2601</v>
      </c>
    </row>
    <row r="27" ht="14.25" customHeight="1">
      <c r="A27" s="47" t="s">
        <v>470</v>
      </c>
      <c r="B27" s="47" t="s">
        <v>2602</v>
      </c>
      <c r="C27" s="47" t="s">
        <v>2603</v>
      </c>
      <c r="D27" s="47" t="s">
        <v>2604</v>
      </c>
      <c r="E27" s="47" t="s">
        <v>2605</v>
      </c>
      <c r="F27" s="47" t="s">
        <v>207</v>
      </c>
    </row>
    <row r="28" ht="15" customHeight="1">
      <c r="A28" s="17" t="s">
        <v>2606</v>
      </c>
      <c r="B28" s="17" t="s">
        <v>2607</v>
      </c>
      <c r="C28" s="17" t="s">
        <v>2608</v>
      </c>
      <c r="D28" s="17" t="s">
        <v>2609</v>
      </c>
      <c r="E28" s="17" t="s">
        <v>2610</v>
      </c>
      <c r="F28" s="17" t="s">
        <v>2611</v>
      </c>
    </row>
    <row r="29" ht="14.25" customHeight="1">
      <c r="A29" s="47" t="s">
        <v>2612</v>
      </c>
      <c r="B29" s="47" t="s">
        <v>2613</v>
      </c>
      <c r="C29" s="47" t="s">
        <v>2614</v>
      </c>
      <c r="D29" s="47" t="s">
        <v>2609</v>
      </c>
      <c r="E29" s="47" t="s">
        <v>2615</v>
      </c>
      <c r="F29" s="47" t="s">
        <v>2616</v>
      </c>
    </row>
    <row r="30" ht="15" customHeight="1">
      <c r="A30" s="17" t="s">
        <v>2617</v>
      </c>
      <c r="B30" s="17" t="s">
        <v>2618</v>
      </c>
      <c r="C30" s="17" t="s">
        <v>2619</v>
      </c>
      <c r="D30" s="17" t="s">
        <v>2620</v>
      </c>
      <c r="E30" s="17" t="s">
        <v>2621</v>
      </c>
      <c r="F30" s="17" t="s">
        <v>2622</v>
      </c>
    </row>
    <row r="31" ht="14.25" customHeight="1">
      <c r="A31" s="47" t="s">
        <v>2623</v>
      </c>
      <c r="B31" s="47" t="s">
        <v>2624</v>
      </c>
      <c r="C31" s="47" t="s">
        <v>2625</v>
      </c>
      <c r="D31" s="47" t="s">
        <v>2626</v>
      </c>
      <c r="E31" s="47" t="s">
        <v>2627</v>
      </c>
      <c r="F31" s="47" t="s">
        <v>2628</v>
      </c>
    </row>
    <row r="35" ht="21" customHeight="1">
      <c r="A35" s="45" t="s">
        <v>2629</v>
      </c>
    </row>
    <row r="36" ht="30" customHeight="1">
      <c r="A36" s="46" t="s">
        <v>2630</v>
      </c>
      <c r="B36" s="46" t="s">
        <v>2631</v>
      </c>
      <c r="C36" s="46" t="s">
        <v>2632</v>
      </c>
      <c r="D36" s="46" t="s">
        <v>2633</v>
      </c>
      <c r="E36" s="46" t="s">
        <v>2634</v>
      </c>
      <c r="F36" s="46" t="s">
        <v>2635</v>
      </c>
    </row>
    <row r="37" ht="15" customHeight="1">
      <c r="A37" s="17" t="s">
        <v>2636</v>
      </c>
      <c r="B37" s="17" t="s">
        <v>2556</v>
      </c>
      <c r="C37" s="17" t="s">
        <v>2637</v>
      </c>
      <c r="D37" s="17" t="s">
        <v>2638</v>
      </c>
      <c r="E37" s="17" t="s">
        <v>2639</v>
      </c>
      <c r="F37" s="17" t="s">
        <v>2640</v>
      </c>
    </row>
    <row r="38" ht="14.25" customHeight="1">
      <c r="A38" s="47" t="s">
        <v>2123</v>
      </c>
      <c r="B38" s="47" t="s">
        <v>2641</v>
      </c>
      <c r="C38" s="47" t="s">
        <v>2642</v>
      </c>
      <c r="D38" s="47" t="s">
        <v>2643</v>
      </c>
      <c r="E38" s="47" t="s">
        <v>2644</v>
      </c>
      <c r="F38" s="47" t="s">
        <v>2645</v>
      </c>
    </row>
    <row r="39" ht="15" customHeight="1">
      <c r="A39" s="17" t="s">
        <v>2127</v>
      </c>
      <c r="B39" s="17" t="s">
        <v>2534</v>
      </c>
      <c r="C39" s="17" t="s">
        <v>2646</v>
      </c>
      <c r="D39" s="17" t="s">
        <v>2647</v>
      </c>
      <c r="E39" s="17" t="s">
        <v>2648</v>
      </c>
      <c r="F39" s="17" t="s">
        <v>71</v>
      </c>
    </row>
    <row r="40" ht="14.25" customHeight="1">
      <c r="A40" s="47" t="s">
        <v>1432</v>
      </c>
      <c r="B40" s="47" t="s">
        <v>2649</v>
      </c>
      <c r="C40" s="47" t="s">
        <v>2650</v>
      </c>
      <c r="D40" s="47" t="s">
        <v>2651</v>
      </c>
      <c r="E40" s="47" t="s">
        <v>2652</v>
      </c>
      <c r="F40" s="47" t="s">
        <v>2653</v>
      </c>
    </row>
    <row r="41" ht="15" customHeight="1">
      <c r="A41" s="17" t="s">
        <v>2654</v>
      </c>
      <c r="B41" s="17" t="s">
        <v>2561</v>
      </c>
      <c r="C41" s="17" t="s">
        <v>2655</v>
      </c>
      <c r="D41" s="17" t="s">
        <v>2656</v>
      </c>
      <c r="E41" s="17" t="s">
        <v>2657</v>
      </c>
      <c r="F41" s="17" t="s">
        <v>2658</v>
      </c>
    </row>
    <row r="42" ht="14.25" customHeight="1">
      <c r="A42" s="47" t="s">
        <v>2659</v>
      </c>
      <c r="B42" s="47" t="s">
        <v>2550</v>
      </c>
      <c r="C42" s="47" t="s">
        <v>2660</v>
      </c>
      <c r="D42" s="47" t="s">
        <v>2661</v>
      </c>
      <c r="E42" s="47" t="s">
        <v>2662</v>
      </c>
      <c r="F42" s="47" t="s">
        <v>69</v>
      </c>
    </row>
    <row r="43" ht="15" customHeight="1">
      <c r="A43" s="17" t="s">
        <v>2546</v>
      </c>
      <c r="B43" s="17" t="s">
        <v>2522</v>
      </c>
      <c r="C43" s="17" t="s">
        <v>2663</v>
      </c>
      <c r="D43" s="17" t="s">
        <v>2664</v>
      </c>
      <c r="E43" s="17" t="s">
        <v>2665</v>
      </c>
      <c r="F43" s="17" t="s">
        <v>2405</v>
      </c>
    </row>
    <row r="44" ht="14.25" customHeight="1">
      <c r="A44" s="47" t="s">
        <v>2666</v>
      </c>
      <c r="B44" s="47" t="s">
        <v>2667</v>
      </c>
      <c r="C44" s="47" t="s">
        <v>2668</v>
      </c>
      <c r="D44" s="47" t="s">
        <v>2669</v>
      </c>
      <c r="E44" s="47" t="s">
        <v>2670</v>
      </c>
      <c r="F44" s="47" t="s">
        <v>1548</v>
      </c>
    </row>
  </sheetData>
  <mergeCells>
    <mergeCell ref="A1:F1"/>
    <mergeCell ref="A2:F2"/>
    <mergeCell ref="A4:F4"/>
    <mergeCell ref="A20:F20"/>
    <mergeCell ref="A35:F3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2026-07-13T09:48:12Z</dcterms:created>
</cp:coreProperties>
</file>