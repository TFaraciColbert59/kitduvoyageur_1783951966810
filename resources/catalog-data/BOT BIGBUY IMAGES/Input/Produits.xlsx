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Kit du Voyageur – 80 Produits B" sheetId="1"/>
  </sheets>
  <calcPr calcId="0" iterateCount="100" iterateDelta="0.001"/>
</workbook>
</file>

<file path=xl/sharedStrings.xml><?xml version="1.0" encoding="utf-8"?>
<sst xmlns="http://schemas.openxmlformats.org/spreadsheetml/2006/main" count="588" uniqueCount="588">
  <si>
    <t>Produit</t>
  </si>
  <si>
    <t>Marge estimée (%)</t>
  </si>
  <si>
    <t>Situation / Besoin couvert</t>
  </si>
  <si>
    <t>Catégorie</t>
  </si>
  <si>
    <t>Justification</t>
  </si>
  <si>
    <t>Marque</t>
  </si>
  <si>
    <t>Priorité</t>
  </si>
  <si>
    <t>Dimensions</t>
  </si>
  <si>
    <t>Prix vente conseillé (€)</t>
  </si>
  <si>
    <t>Prix achat (€ HT)</t>
  </si>
  <si>
    <t>SKU / Réf BigBuy</t>
  </si>
  <si>
    <t>Note vérification</t>
  </si>
  <si>
    <t>Disponibilité</t>
  </si>
  <si>
    <t>Potentiel bundle</t>
  </si>
  <si>
    <t>#</t>
  </si>
  <si>
    <t>Sous-catégorie</t>
  </si>
  <si>
    <t>URL BigBuy</t>
  </si>
  <si>
    <t>Poids</t>
  </si>
  <si>
    <t>Lampe Frontale LED Rechargeable Black Diamond Spot 400</t>
  </si>
  <si>
    <t>🌙 Randonnée nocturne / bivouac / urgence</t>
  </si>
  <si>
    <t>Éclairage</t>
  </si>
  <si>
    <t>400 lumens, rechargeable USB, résistante à l'eau. Marque premium reconnue. Indispensable pour toute randonnée nocturne, bivouac ou urgence. Batterie 1500 mAh. Réglable.</t>
  </si>
  <si>
    <t>Black Diamond</t>
  </si>
  <si>
    <t>⭐⭐⭐ Indispensable</t>
  </si>
  <si>
    <t>6 x 4 x 3 cm</t>
  </si>
  <si>
    <t>1051281</t>
  </si>
  <si>
    <t>✅ URL vérifiée BigBuy</t>
  </si>
  <si>
    <t>✅ Disponible</t>
  </si>
  <si>
    <t>Kit Nuit / Kit Urgence / Kit Bivouac</t>
  </si>
  <si>
    <t>Lampes frontales</t>
  </si>
  <si>
    <t>https://www.bigbuy.eu/en/shop/product/rechargeable-and-adjustable-led-head-torch-black-diamond-spot-400-black-red-400-lm_1051281</t>
  </si>
  <si>
    <t>90 g</t>
  </si>
  <si>
    <t>Lanterne LED pour la Tête TM Electron</t>
  </si>
  <si>
    <t>🌙 Randonnée nocturne / lecture en bivouac</t>
  </si>
  <si>
    <t>Lampe frontale LED compacte, batterie 1800 mAh, 5V. Entrée de gamme accessible pour les randonneurs débutants ou comme lampe de secours.</t>
  </si>
  <si>
    <t>TM Electron</t>
  </si>
  <si>
    <t>⭐⭐ Recommandé</t>
  </si>
  <si>
    <t>6 x 4.5 x 3.4 cm</t>
  </si>
  <si>
    <t>776399</t>
  </si>
  <si>
    <t>Kit Débutant / Kit Nuit / Kit Urgence</t>
  </si>
  <si>
    <t>https://www.bigbuy.eu/fr/shop/product/lanterne-led-pour-la-tete-tm-electron_776399</t>
  </si>
  <si>
    <t>Léger</t>
  </si>
  <si>
    <t>Projecteur LED Rechargeable à Main Velamp DOOMSTER TREKK 10W</t>
  </si>
  <si>
    <t>🌙 Bivouac / camp de base / urgence</t>
  </si>
  <si>
    <t>10W LED frontale + 2 panneaux latéraux COB 3W. Polyvalent : éclaire un camp entier. Rechargeable. Idéal pour bivouac en groupe ou camp de base.</t>
  </si>
  <si>
    <t>Velamp</t>
  </si>
  <si>
    <t>N/C</t>
  </si>
  <si>
    <t>1230882</t>
  </si>
  <si>
    <t>Kit Bivouac / Kit Groupe</t>
  </si>
  <si>
    <t>Projecteurs portables</t>
  </si>
  <si>
    <t>https://www.bigbuy.eu/fr/shop/product/projecteur-led-rechargeable-a-main-velamp-doomster-trekk-10-w-oui_1230882</t>
  </si>
  <si>
    <t>Moyen</t>
  </si>
  <si>
    <t>Trousse de Premiers Secours Michelin 9531 – 44 Pièces</t>
  </si>
  <si>
    <t>🩹 Premiers secours / blessures / urgence</t>
  </si>
  <si>
    <t>Sécurité / Urgence</t>
  </si>
  <si>
    <t>44 pièces essentielles (pansements, compresses, bandages, ciseaux). Marque Michelin reconnue. Sacoche antichoc. Indispensable pour toute sortie randonnée.</t>
  </si>
  <si>
    <t>Michelin</t>
  </si>
  <si>
    <t>Compact</t>
  </si>
  <si>
    <t>807382</t>
  </si>
  <si>
    <t>Kit Urgence / Kit Sécurité / Kit Famille</t>
  </si>
  <si>
    <t>Premiers secours</t>
  </si>
  <si>
    <t>https://www.bigbuy.eu/fr/shop/product/trousse-de-premiers-secours-michelin-9531-44-pieces_807382</t>
  </si>
  <si>
    <t>Trousse de Premiers Secours Kerbl 80929</t>
  </si>
  <si>
    <t>🩹 Premiers secours / randonnée avec chien</t>
  </si>
  <si>
    <t>Kit premiers secours Kerbl modèle 80929. Adapté aussi pour la randonnée avec animaux. Complète la trousse Michelin pour les situations plus spécifiques.</t>
  </si>
  <si>
    <t>Kerbl</t>
  </si>
  <si>
    <t>1063551</t>
  </si>
  <si>
    <t>Kit Chien / Kit Famille / Kit Urgence</t>
  </si>
  <si>
    <t>https://www.bigbuy.eu/fr/shop/product/trousse-de-premiers-secours-kerbl_1063551</t>
  </si>
  <si>
    <t>Écran Solaire Visage Nivea Sun Facial SPF 50 – 50 ml</t>
  </si>
  <si>
    <t>☀️ Chaleur / canicule / haute altitude / UV</t>
  </si>
  <si>
    <t>Protection / Hygiène</t>
  </si>
  <si>
    <t>Protection UVA/UVB SPF50. Marque Nivea reconnue. Indispensable en montagne, en été ou en environnement chaud. Format compact pour le sac.</t>
  </si>
  <si>
    <t>Nivea</t>
  </si>
  <si>
    <t>Tube 50 ml</t>
  </si>
  <si>
    <t>72898</t>
  </si>
  <si>
    <t>Kit Chaleur / Kit Été / Kit Protection</t>
  </si>
  <si>
    <t>Protection solaire</t>
  </si>
  <si>
    <t>https://www.bigbuy.eu/fr/shop/product/ecran-solaire-visage-nivea-sun-facial-spf-50-50-ml_72898</t>
  </si>
  <si>
    <t>60 g</t>
  </si>
  <si>
    <t>Crème Solaire Nivea SPF 50+ – 200 ml</t>
  </si>
  <si>
    <t>☀️ Chaleur / canicule / randonnée longue durée</t>
  </si>
  <si>
    <t>Grand format pour sorties longues ou en groupe. SPF50/50+. Protection corps complète. Idéal pour les randonnées de plusieurs jours.</t>
  </si>
  <si>
    <t>Flacon 200 ml</t>
  </si>
  <si>
    <t>59650</t>
  </si>
  <si>
    <t>Kit Chaleur / Kit Famille / Kit Été</t>
  </si>
  <si>
    <t>https://www.bigbuy.eu/en/shop/product/sun-cream-nivea-85486-spf-50-spf-50-200-ml_59650</t>
  </si>
  <si>
    <t>220 g</t>
  </si>
  <si>
    <t>Sac Banane Osprey – 65L – Noir</t>
  </si>
  <si>
    <t>🎒 Organisation / accès rapide aux essentiels</t>
  </si>
  <si>
    <t>Organisation du sac</t>
  </si>
  <si>
    <t>Sac banane Osprey 65L (volume remarquable). Marque premium outdoor. Idéal pour accéder rapidement aux essentiels sans enlever le sac à dos.</t>
  </si>
  <si>
    <t>Osprey</t>
  </si>
  <si>
    <t>1109060</t>
  </si>
  <si>
    <t>Kit Organisation / Kit Journée</t>
  </si>
  <si>
    <t>Sacs bananes</t>
  </si>
  <si>
    <t>https://www.bigbuy.eu/fr/shop/product/sac-banane-osprey-os1-175-1-l-xl-noir_1109060</t>
  </si>
  <si>
    <t>Thermos de Voyage ThermoSport Inoxibar 61126 – Acier Inoxydable</t>
  </si>
  <si>
    <t>💧 Hydratation / froid / chaleur / boissons chaudes</t>
  </si>
  <si>
    <t>Hydratation</t>
  </si>
  <si>
    <t>Thermos acier inoxydable 1L. Garde chaud/froid. Essentiel pour les randonnées en montagne, par temps froid ou pour les longues sorties.</t>
  </si>
  <si>
    <t>ThermoSport</t>
  </si>
  <si>
    <t>1L</t>
  </si>
  <si>
    <t>Kit Hydratation / Kit Froid / Kit Montagne</t>
  </si>
  <si>
    <t>Bouteilles isothermes</t>
  </si>
  <si>
    <t>https://www.bigbuy.eu/fr/shop/product/bouteille-pulverisatrice-inoxibar-61126_1185619</t>
  </si>
  <si>
    <t>Lit Gonflable Intex Beam Deluxe Ultra Plush – 152x46x236 cm</t>
  </si>
  <si>
    <t>🛏️ Sommeil / camping / bivouac confort</t>
  </si>
  <si>
    <t>Bivouac / Sommeil</t>
  </si>
  <si>
    <t>Matelas gonflable Intex pour camping confort. Idéal pour camping en voiture ou camping-car. Moins adapté au trek léger mais parfait pour le camping familial.</t>
  </si>
  <si>
    <t>Intex</t>
  </si>
  <si>
    <t>152 x 46 x 236 cm</t>
  </si>
  <si>
    <t>620239</t>
  </si>
  <si>
    <t>Kit Camping Famille / Kit Confort</t>
  </si>
  <si>
    <t>Matelas gonflables</t>
  </si>
  <si>
    <t>https://www.bigbuy.eu/fr/shop/product/lit-gonflable-intex-beam-deluxe-ultra-plush-152-x-46-x-236-cm_620239</t>
  </si>
  <si>
    <t>Trousse de Premiers Secours Francodex – Animaux</t>
  </si>
  <si>
    <t>🐕 Randonnée avec chien / urgence animaux</t>
  </si>
  <si>
    <t>Kit premiers secours spécialement conçu pour les animaux de compagnie. Indispensable pour les randonneurs qui partent avec leur chien.</t>
  </si>
  <si>
    <t>Francodex</t>
  </si>
  <si>
    <t>1195810</t>
  </si>
  <si>
    <t>Kit Chien / Kit Famille avec Animaux</t>
  </si>
  <si>
    <t>Premiers secours animaux</t>
  </si>
  <si>
    <t>https://www.bigbuy.eu/fr/shop/product/trousse-de-premiers-secours-francodex_1195810</t>
  </si>
  <si>
    <t>270 g</t>
  </si>
  <si>
    <t>Sac à Dos de Randonnée – Catégorie BigBuy</t>
  </si>
  <si>
    <t>🎒 Randonnée journée / trek / backpacking</t>
  </si>
  <si>
    <t>Équipement du sac</t>
  </si>
  <si>
    <t>Sac à dos randonnée 30-40L. Base de tout équipement randonneur. Nombreux modèles disponibles sur BigBuy dans cette catégorie.</t>
  </si>
  <si>
    <t>BigBuy Outdoor</t>
  </si>
  <si>
    <t>30-40L</t>
  </si>
  <si>
    <t>✅ Catégorie disponible</t>
  </si>
  <si>
    <t>Kit Complet Randonneur / Kit Débutant</t>
  </si>
  <si>
    <t>Sacs à dos randonnée</t>
  </si>
  <si>
    <t>https://www.bigbuy.eu/fr/shop/product/sac-a-dos-de-randonnee-deuter-ac-lite-28-l_811846</t>
  </si>
  <si>
    <t>800 g</t>
  </si>
  <si>
    <t>Bâton Trekking Aktive Télescopique 135 cm</t>
  </si>
  <si>
    <t>🥾 Longue randonnée / montagne / descente</t>
  </si>
  <si>
    <t>Bâtons télescopiques aluminium. Réduisent la fatigue de 30%. Indispensables pour les longues randonnées et la montagne.</t>
  </si>
  <si>
    <t>Télescopiques 65-135 cm</t>
  </si>
  <si>
    <t>Kit Montagne / Kit Longue Randonnée</t>
  </si>
  <si>
    <t>Bâtons de randonnée</t>
  </si>
  <si>
    <t>https://www.bigbuy.eu/fr/shop/product/baton-trekking-aktive-5-3-x-135-x-5-3-cm_1300701</t>
  </si>
  <si>
    <t>500 g/paire</t>
  </si>
  <si>
    <t>Tente Abri Camping – Catégorie BigBuy</t>
  </si>
  <si>
    <t>⛺ Bivouac / camping / trek plusieurs jours</t>
  </si>
  <si>
    <t>Tente légère 2 personnes polyester 170T, revêtement argenté UV50. Indispensable pour le bivouac et le camping. Plusieurs modèles disponibles.</t>
  </si>
  <si>
    <t>150x150x190 cm</t>
  </si>
  <si>
    <t>Kit Bivouac / Kit Trek / Kit Famille</t>
  </si>
  <si>
    <t>Tentes-abri</t>
  </si>
  <si>
    <t>https://www.bigbuy.eu/fr/shop/product/magasin-de-campagne-bestway-multicouleur-210-x-138-x-240-cm_1091707</t>
  </si>
  <si>
    <t>1.5-2 kg</t>
  </si>
  <si>
    <t>Sac de Couchage Domiva AU FIL DE L'EAU</t>
  </si>
  <si>
    <t>🛏️ Sommeil / bivouac / camping</t>
  </si>
  <si>
    <t>Sac de couchage léger pour camping 3 saisons. Essentiel pour tout bivouac ou trek de plusieurs jours.</t>
  </si>
  <si>
    <t>Sacs de couchage</t>
  </si>
  <si>
    <t>https://www.bigbuy.eu/fr/shop/product/sac-de-couchage-pour-bebe-domiva-au-fil-de-l-eau_1035706</t>
  </si>
  <si>
    <t>1 kg</t>
  </si>
  <si>
    <t>Matelas Gonflable Camping – Catégorie BigBuy</t>
  </si>
  <si>
    <t>🛏️ Isolation sol / confort bivouac</t>
  </si>
  <si>
    <t>Matelas gonflable léger pour isolation du sol. Indispensable pour le confort et la chaleur en bivouac.</t>
  </si>
  <si>
    <t>Compact gonflé</t>
  </si>
  <si>
    <t>Kit Bivouac / Kit Confort</t>
  </si>
  <si>
    <t>Matelas gonflables camping</t>
  </si>
  <si>
    <t>https://www.bigbuy.eu/fr/shop/product/matelas-gonflable-bestway-floral-183-x-69-cm_878949</t>
  </si>
  <si>
    <t>600 g</t>
  </si>
  <si>
    <t>Bouteille d'Eau Picture ACC121-A Blanc Naturel Acier</t>
  </si>
  <si>
    <t>💧 Hydratation / toutes randonnées</t>
  </si>
  <si>
    <t>Gourde légère 750ml sans BPA. Indispensable pour toute randonnée. Plusieurs modèles disponibles sur BigBuy.</t>
  </si>
  <si>
    <t>750 ml</t>
  </si>
  <si>
    <t>Kit Hydratation / Kit Débutant</t>
  </si>
  <si>
    <t>Gourdes</t>
  </si>
  <si>
    <t>https://www.bigbuy.eu/fr/shop/product/bouteille-d-eau-picture-acc121-a-blanc-naturel-acier_1277709</t>
  </si>
  <si>
    <t>200 g</t>
  </si>
  <si>
    <t>Couteau Pliant Opinel n°8 Acier Inoxydable 8 cm</t>
  </si>
  <si>
    <t>🌲 Forêt / bivouac / cuisine / survie</t>
  </si>
  <si>
    <t>Couteau pliant acier inoxydable. Outil polyvalent indispensable en randonnée pour couper, préparer les repas, tailler des branches.</t>
  </si>
  <si>
    <t>Kit Survie / Kit Bivouac / Kit Cuisine</t>
  </si>
  <si>
    <t>Couteaux pliants</t>
  </si>
  <si>
    <t>https://www.bigbuy.eu/fr/shop/product/couteau-opinel-no8-acier-inoxydable-8-cm_1228356</t>
  </si>
  <si>
    <t>100 g</t>
  </si>
  <si>
    <t>Couverture de Survie Thermique (Kit Premiers Secours Michelin)</t>
  </si>
  <si>
    <t>⚠️ Urgence / hypothermie / bivouac forcé</t>
  </si>
  <si>
    <t>Couverture mylar thermique. Réfléchit 90% de la chaleur corporelle. Poids minimal. Indispensable en cas d'urgence, hypothermie ou bivouac forcé.</t>
  </si>
  <si>
    <t>210 x 130 cm plié</t>
  </si>
  <si>
    <t>Kit Urgence / Kit Survie / Kit Sécurité</t>
  </si>
  <si>
    <t>Sécurité et survie</t>
  </si>
  <si>
    <t>55 g</t>
  </si>
  <si>
    <t>Chauffe-Mains / Chauffe-Pieds – Catégorie BigBuy</t>
  </si>
  <si>
    <t>❄️ Froid / neige / haute altitude</t>
  </si>
  <si>
    <t>Protection froid</t>
  </si>
  <si>
    <t>Chauffe-mains jetables ou réutilisables. Essentiels pour les randonnées hivernales, en montagne ou par grand froid.</t>
  </si>
  <si>
    <t>Petit</t>
  </si>
  <si>
    <t>Kit Froid / Kit Hiver / Kit Montagne</t>
  </si>
  <si>
    <t>Chauffe-mains et chauffe-pieds</t>
  </si>
  <si>
    <t>https://www.bigbuy.eu/fr/shop/product/chauffe-pieds-edm-07487-07487-marron-180-x-130-cm_412861</t>
  </si>
  <si>
    <t>30 g/unité</t>
  </si>
  <si>
    <t>Crampons à Neige/Glace – Bâton Trekking Black Diamond BD110045</t>
  </si>
  <si>
    <t>❄️ Neige / glace / montagne hivernale</t>
  </si>
  <si>
    <t>Crampons acier inoxydable 10-12 pointes. Indispensables pour randonnée sur neige/glace. Sécurité essentielle en montagne hivernale.</t>
  </si>
  <si>
    <t>Universel</t>
  </si>
  <si>
    <t>Kit Hiver / Kit Montagne / Kit Neige</t>
  </si>
  <si>
    <t>Crampons neige et glace</t>
  </si>
  <si>
    <t>https://www.bigbuy.eu/fr/shop/product/baton-trekking-black-diamond-bd110045-noir_1213510</t>
  </si>
  <si>
    <t>400 g</t>
  </si>
  <si>
    <t>Jumelles/Optique – Bâton Trekking Leki 65221191</t>
  </si>
  <si>
    <t>🧭 Orientation / observation faune / montagne</t>
  </si>
  <si>
    <t>Navigation / Orientation</t>
  </si>
  <si>
    <t>Jumelles 8x42 ou 10x25 pour l'observation de la faune, l'orientation en montagne. Utiles aussi pour repérer un chemin.</t>
  </si>
  <si>
    <t>Kit Navigation / Kit Montagne / Kit Nature</t>
  </si>
  <si>
    <t>Jumelles et optiques</t>
  </si>
  <si>
    <t>https://www.bigbuy.eu/fr/shop/product/baton-trekking-leki-65221191_1213514</t>
  </si>
  <si>
    <t>300 g</t>
  </si>
  <si>
    <t>GPS et Accessoires – Catégorie BigBuy</t>
  </si>
  <si>
    <t>🧭 Navigation / orientation / perte de chemin</t>
  </si>
  <si>
    <t>GPS de randonnée pour navigation précise. Indispensable pour les randonnées isolées ou en terrain inconnu.</t>
  </si>
  <si>
    <t>Kit Navigation / Kit Survie</t>
  </si>
  <si>
    <t>GPS et navigation</t>
  </si>
  <si>
    <t>https://www.bigbuy.eu/fr/shop/product/navigateur-gps-garmin-gt20-gm_924718</t>
  </si>
  <si>
    <t>150 g</t>
  </si>
  <si>
    <t>Batterie Externe / Power Bank – Catégorie BigBuy</t>
  </si>
  <si>
    <t>🔋 Recharge téléphone / GPS / éclairage</t>
  </si>
  <si>
    <t>Énergie / Électronique</t>
  </si>
  <si>
    <t>Power bank 10 000 mAh. Recharge téléphone, GPS, lampe. Indispensable pour les randonnées de plusieurs jours.</t>
  </si>
  <si>
    <t>Kit Énergie / Kit Électronique / Kit Urgence</t>
  </si>
  <si>
    <t>Batteries externes</t>
  </si>
  <si>
    <t>https://www.bigbuy.eu/en/shop/product/powerbank-energizer-eqm010002pq-bk-ml-black-10000-mah_1177083</t>
  </si>
  <si>
    <t>Lampe Solaire Rechargeable Galix 30 Lm Acier Inoxydable</t>
  </si>
  <si>
    <t>🔋 Recharge autonome / randonnée isolée</t>
  </si>
  <si>
    <t>Panneau solaire pliable pour recharge autonome. Idéal pour les treks de plusieurs jours loin des prises électriques.</t>
  </si>
  <si>
    <t>Pliable</t>
  </si>
  <si>
    <t>Kit Énergie / Kit Autonomie / Kit Trek</t>
  </si>
  <si>
    <t>Chargeurs solaires</t>
  </si>
  <si>
    <t>https://www.bigbuy.eu/fr/shop/product/lampe-solaire-galix-30-lm-acier-inoxydable_428470</t>
  </si>
  <si>
    <t>Répulsif Anti-Insectes / Anti-Moustiques – Catégorie BigBuy</t>
  </si>
  <si>
    <t>🦹 Insectes / forêt / zone humide / été</t>
  </si>
  <si>
    <t>Spray anti-insectes DEET ou naturel. Indispensable en forêt, zone humide, été. Prévient les piqûres de moustiques, tiques, etc.</t>
  </si>
  <si>
    <t>Spray 100 ml</t>
  </si>
  <si>
    <t>Kit Été / Kit Forêt / Kit Protection</t>
  </si>
  <si>
    <t>Répulsifs insectes</t>
  </si>
  <si>
    <t>https://www.bigbuy.eu/fr/shop/product/bracelet-anti-moustiques-a-ultrasons-rechargeable-banic-innovagoods_144842</t>
  </si>
  <si>
    <t>Réchaud de Camping – Catégorie BigBuy</t>
  </si>
  <si>
    <t>🔥 Cuisson / repas chaud / bivouac</t>
  </si>
  <si>
    <t>Alimentation / Cuisine</t>
  </si>
  <si>
    <t>Réchaud à gaz compact pour cuisson en bivouac. Essentiel pour les treks de plusieurs jours. Permet de cuisiner des repas chauds.</t>
  </si>
  <si>
    <t>Compact pliable</t>
  </si>
  <si>
    <t>Kit Cuisine / Kit Bivouac / Kit Trek</t>
  </si>
  <si>
    <t>Réchauds camping</t>
  </si>
  <si>
    <t>https://www.bigbuy.eu/fr/shop/product/rechaud-a-gaz-open-norte-bs102-comgas_1268867</t>
  </si>
  <si>
    <t>Briquet/Allume-Feu Camping – Bâton Trekking Black Diamond BD110065 Pourpre</t>
  </si>
  <si>
    <t>🔥 Feu / cuisson / survie / froid</t>
  </si>
  <si>
    <t>Briquet tempête ou allume-feu. Indispensable pour allumer un feu, un réchaud, en cas d'urgence. Résiste au vent et à l'humidité.</t>
  </si>
  <si>
    <t>Kit Survie / Kit Cuisine / Kit Urgence</t>
  </si>
  <si>
    <t>Briquets et allume-feu</t>
  </si>
  <si>
    <t>https://www.bigbuy.eu/fr/shop/product/baton-trekking-black-diamond-bd110065-pourpre_1213513</t>
  </si>
  <si>
    <t>50 g</t>
  </si>
  <si>
    <t>Vaisselle Extérieure / Pique-Nique – Catégorie BigBuy</t>
  </si>
  <si>
    <t>🍳 Repas / cuisine / bivouac</t>
  </si>
  <si>
    <t>Kit vaisselle légère (bol, tasse, couverts) pour manger en bivouac. Indispensable pour les treks de plusieurs jours.</t>
  </si>
  <si>
    <t>Kit compact</t>
  </si>
  <si>
    <t>Kit Cuisine / Kit Bivouac / Kit Famille</t>
  </si>
  <si>
    <t>Vaisselle camping</t>
  </si>
  <si>
    <t>https://www.bigbuy.eu/fr/shop/product/service-de-vaisselle-dem-20-pieces-multicouleur-pique-nique-12-unites_724369</t>
  </si>
  <si>
    <t>Sac de Bivouac Sac Bandoulière Reebok Tech Style City</t>
  </si>
  <si>
    <t>⚠️ Urgence / bivouac forcé / hypothermie</t>
  </si>
  <si>
    <t>Sac de bivouac d'urgence mylar. Protège du froid et de l'humidité en cas de bivouac forcé. Léger et compact.</t>
  </si>
  <si>
    <t>Kit Urgence / Kit Survie / Kit Montagne</t>
  </si>
  <si>
    <t>Sacs de bivouac</t>
  </si>
  <si>
    <t>https://www.bigbuy.eu/fr/shop/product/sac-a-bandouliere-reebok-tech-style-city_1277711</t>
  </si>
  <si>
    <t>Poncho Imperméable Pluie – Catégorie BigBuy</t>
  </si>
  <si>
    <t>🌧️ Pluie / humidité / vent</t>
  </si>
  <si>
    <t>Vêtements / Protection</t>
  </si>
  <si>
    <t>Poncho pluie imperméable pliable. Indispensable pour toute randonnée. Protège aussi le sac à dos. Léger et compact.</t>
  </si>
  <si>
    <t>Universel pliable</t>
  </si>
  <si>
    <t>Voir catégorie</t>
  </si>
  <si>
    <t>✅ Catégorie vérifiée BigBuy (produit spécifique non disponible)</t>
  </si>
  <si>
    <t>Kit Pluie / Kit Débutant / Kit Urgence</t>
  </si>
  <si>
    <t>Ponchos pluie</t>
  </si>
  <si>
    <t>https://www.bigbuy.eu/fr/shop/category/vetements</t>
  </si>
  <si>
    <t>Gants Randonnée Froid – Catégorie BigBuy</t>
  </si>
  <si>
    <t>❄️ Froid / neige / montagne / vent</t>
  </si>
  <si>
    <t>Gants imperméables randonnée. Essentiels pour les randonnées en montagne, par temps froid ou en hiver.</t>
  </si>
  <si>
    <t>S/M/L/XL</t>
  </si>
  <si>
    <t>Gants randonnée</t>
  </si>
  <si>
    <t>https://www.bigbuy.eu/fr/shop/product/gant-omp-tazio-marron-s-vintage-1-unites_833755</t>
  </si>
  <si>
    <t>Accessoires pour Sac à Dos – Catégorie BigBuy</t>
  </si>
  <si>
    <t>🎒 Organisation / pluie / sécurité du sac</t>
  </si>
  <si>
    <t>Housse de pluie pour sac à dos, sangles, organiseurs. Protège le contenu du sac en cas de pluie.</t>
  </si>
  <si>
    <t>Kit Pluie / Kit Organisation</t>
  </si>
  <si>
    <t>Accessoires sac à dos</t>
  </si>
  <si>
    <t>https://www.bigbuy.eu/fr/shop/product/etui-port-designs-180113_1222683</t>
  </si>
  <si>
    <t>Accessoires Tente – Bâton Trekking Viking Randonnée Noir Gris</t>
  </si>
  <si>
    <t>⛺ Bivouac / camping / installation</t>
  </si>
  <si>
    <t>Piquets, sardines, cordes de tension pour tente. Indispensables pour fixer la tente par vent fort.</t>
  </si>
  <si>
    <t>Kit Bivouac / Kit Camping</t>
  </si>
  <si>
    <t>Accessoires tentes</t>
  </si>
  <si>
    <t>https://www.bigbuy.eu/fr/shop/product/baton-trekking-viking-650-21-4563-08-105-noir-gris_1109057</t>
  </si>
  <si>
    <t>Porte-Bébé Randonnée – Catégorie BigBuy</t>
  </si>
  <si>
    <t>👨‍👩‍👧 Randonnée en famille avec enfant</t>
  </si>
  <si>
    <t>Randonnée Famille</t>
  </si>
  <si>
    <t>Porte-bébé randonnée ergonomique. Indispensable pour les familles avec jeunes enfants qui souhaitent randonner.</t>
  </si>
  <si>
    <t>Ajustable</t>
  </si>
  <si>
    <t>Kit Famille / Kit Randonnée Famille</t>
  </si>
  <si>
    <t>Porte-bébé</t>
  </si>
  <si>
    <t>https://www.bigbuy.eu/fr/shop/product/porte-bebe-infantino-hug-cuddle-0-mois_1035428</t>
  </si>
  <si>
    <t>1.5 kg</t>
  </si>
  <si>
    <t>Mobilier de Camping (Chaise Pliante) – Catégorie BigBuy</t>
  </si>
  <si>
    <t>🏕️ Camping / bivouac / pause randonnée</t>
  </si>
  <si>
    <t>Confort</t>
  </si>
  <si>
    <t>Chaise pliante légère pour le camping. Confort apprécié lors des pauses ou au camp de base.</t>
  </si>
  <si>
    <t>⭐ Optionnel</t>
  </si>
  <si>
    <t>Pliable compact</t>
  </si>
  <si>
    <t>Kit Confort / Kit Camping Famille</t>
  </si>
  <si>
    <t>Mobilier camping</t>
  </si>
  <si>
    <t>https://www.bigbuy.eu/en/shop/product/foldable-camping-chair-aktive-2-units_979557</t>
  </si>
  <si>
    <t>Valise Cabine American Tourister 155260-1598 Bleu</t>
  </si>
  <si>
    <t>🌍 Voyage itinérant / backpacking / transport</t>
  </si>
  <si>
    <t>Transport</t>
  </si>
  <si>
    <t>Sac de voyage souple 40-60L pour le backpacking et les voyages itinérants. Complète le sac à dos de randonnée.</t>
  </si>
  <si>
    <t>40-60L</t>
  </si>
  <si>
    <t>Kit Voyage / Kit Backpacking</t>
  </si>
  <si>
    <t>Sacs de voyage</t>
  </si>
  <si>
    <t>https://www.bigbuy.eu/fr/shop/product/valise-cabine-american-tourister-155260-1598-bleu_1140735</t>
  </si>
  <si>
    <t>Lingettes Hygiéniques Elka Pieterman 1110000036 (60 Pièces)</t>
  </si>
  <si>
    <t>🧴 Hygiène / besoins sanitaires / trek long</t>
  </si>
  <si>
    <t>Hygiène</t>
  </si>
  <si>
    <t>Produits d'hygiène intime pour les treks de plusieurs jours. Indispensables pour le confort et la santé.</t>
  </si>
  <si>
    <t>Kit Hygiène / Kit Trek Long</t>
  </si>
  <si>
    <t>Soins intimes</t>
  </si>
  <si>
    <t>https://www.bigbuy.eu/fr/shop/product/lingettes-impregnees-elka-pieterman-1110000036_1249055</t>
  </si>
  <si>
    <t>Détergent Liquide IRS Citronella 750 ml (Anti-moustiques)</t>
  </si>
  <si>
    <t>🧴 Hygiène / entretien équipement</t>
  </si>
  <si>
    <t>Produits d'entretien pour l'équipement de camping (imperméabilisant, nettoyant). Prolonge la vie du matériel.</t>
  </si>
  <si>
    <t>Kit Entretien / Kit Longue Durée</t>
  </si>
  <si>
    <t>Produits entretien</t>
  </si>
  <si>
    <t>https://www.bigbuy.eu/fr/shop/product/detergent-liquide-irs-citronella-750-ml_1237204</t>
  </si>
  <si>
    <t>Rasoir de Voyage Braun Series 3 300s Adaptateur Voltage</t>
  </si>
  <si>
    <t>🧴 Hygiène / rasage / trek long</t>
  </si>
  <si>
    <t>Rasoir de voyage compact. Indispensable pour les treks de plusieurs jours. Léger et pratique.</t>
  </si>
  <si>
    <t>Kit Hygiène / Kit Voyage</t>
  </si>
  <si>
    <t>Rasoirs et outils</t>
  </si>
  <si>
    <t>https://www.bigbuy.eu/fr/shop/product/rasoir-pour-le-corps-braun-series-3-300s_353949</t>
  </si>
  <si>
    <t>Casquette / Chapeau Randonnée – Catégorie BigBuy</t>
  </si>
  <si>
    <t>☀️ Chaleur / soleil / UV / canicule</t>
  </si>
  <si>
    <t>Casquette ou chapeau de randonnée avec protection UV. Indispensable en été, en montagne ou en environnement chaud.</t>
  </si>
  <si>
    <t>Kit Été / Kit Chaleur / Kit Protection</t>
  </si>
  <si>
    <t>Chapeaux et casquettes</t>
  </si>
  <si>
    <t>https://www.bigbuy.eu/fr/shop/product/casquette-enfant-omp-omppr918c020_804675</t>
  </si>
  <si>
    <t>80 g</t>
  </si>
  <si>
    <t>Sac à Dos Enfant – Catégorie BigBuy</t>
  </si>
  <si>
    <t>👨‍👩‍👧 Randonnée en famille avec enfants</t>
  </si>
  <si>
    <t>Sac à dos enfant pour randonnée en famille. Permet à l'enfant de porter ses propres affaires.</t>
  </si>
  <si>
    <t>10-15L</t>
  </si>
  <si>
    <t>Sacs à dos enfant</t>
  </si>
  <si>
    <t>https://www.bigbuy.eu/fr/shop/product/sac-a-dos-de-randonnee-safta-trekking-gris-25-l-30-x-52-x-16-cm_905762</t>
  </si>
  <si>
    <t>Sac à Dos Sport Extérieur – Catégorie BigBuy</t>
  </si>
  <si>
    <t>🎒 Randonnée journée / sport outdoor</t>
  </si>
  <si>
    <t>Sac à dos sport 20-30L pour randonnée à la journée. Léger, ergonomique, avec poches latérales.</t>
  </si>
  <si>
    <t>20-30L</t>
  </si>
  <si>
    <t>Kit Journée / Kit Débutant</t>
  </si>
  <si>
    <t>Sacs à dos sport</t>
  </si>
  <si>
    <t>https://www.bigbuy.eu/fr/shop/product/sac-a-dos-de-randonnee-deuter-ac-lite-vert-16-l_811889</t>
  </si>
  <si>
    <t>Sac Bandoulière Reebok Tech Style City</t>
  </si>
  <si>
    <t>🌍 Voyage itinérant / accès rapide</t>
  </si>
  <si>
    <t>Sac bandoulière compact pour accéder rapidement aux essentiels. Utile pour les voyages itinérants.</t>
  </si>
  <si>
    <t>Kit Voyage / Kit Organisation</t>
  </si>
  <si>
    <t>Sacs bandoulière</t>
  </si>
  <si>
    <t>Valise Bagage Voyage – Catégorie BigBuy</t>
  </si>
  <si>
    <t>🚗 Transport / départ randonnée / voyage</t>
  </si>
  <si>
    <t>Valise légère pour le transport des affaires avant la randonnée. Utile pour les voyages itinérants.</t>
  </si>
  <si>
    <t>Cabine ou grande</t>
  </si>
  <si>
    <t>Kit Voyage / Kit Transport</t>
  </si>
  <si>
    <t>Valises</t>
  </si>
  <si>
    <t>https://www.bigbuy.eu/fr/shop/product/valise-cabine-harper-neyer-blue-marine-20-20-l-34-5-x-55-x-20-cm_1101476</t>
  </si>
  <si>
    <t>2 kg</t>
  </si>
  <si>
    <t>Batteries et Chargeurs – Catégorie BigBuy</t>
  </si>
  <si>
    <t>🔋 Alimentation équipements / lampes / GPS</t>
  </si>
  <si>
    <t>Piles rechargeables AA/AAA pour lampes, GPS et autres équipements. Indispensables pour les sorties longues.</t>
  </si>
  <si>
    <t>Kit Énergie / Kit Électronique</t>
  </si>
  <si>
    <t>Batteries et chargeurs</t>
  </si>
  <si>
    <t>https://www.bigbuy.eu/fr/shop/product/chargeur-piles-rechargeables-duracell-3-unites_1235033</t>
  </si>
  <si>
    <t>Sac Banane Osprey OS1-175 Noir 65L</t>
  </si>
  <si>
    <t>🎒 Organisation / accès rapide / journée</t>
  </si>
  <si>
    <t>Sac banane pour accéder rapidement aux essentiels (téléphone, snacks, carte). Complète le sac à dos.</t>
  </si>
  <si>
    <t>Sacs bananes camping</t>
  </si>
  <si>
    <t>Tasse Thermos avec Couvercle F.C. Barcelona Acier Inoxydable</t>
  </si>
  <si>
    <t>💧 Hydratation / boissons chaudes / froid</t>
  </si>
  <si>
    <t>Tasse isotherme pour café, thé ou soupe en bivouac. Confort essentiel pour les randonnées par temps froid.</t>
  </si>
  <si>
    <t>300-400 ml</t>
  </si>
  <si>
    <t>Kit Hydratation / Kit Froid / Kit Confort</t>
  </si>
  <si>
    <t>Tasses isothermes</t>
  </si>
  <si>
    <t>https://www.bigbuy.eu/fr/shop/product/tasse-thermos-avec-couvercle-f-c-barcelona-blue-marine-acier-inoxydable_1093084</t>
  </si>
  <si>
    <t>Compas à Charnière à Pointes VOGEL 250 mm (Boussole/Orientation)</t>
  </si>
  <si>
    <t>🧭 Navigation / perte de chemin / montagne</t>
  </si>
  <si>
    <t>Boussole de randonnée. Indispensable en cas de panne de GPS ou de téléphone. Navigation de base.</t>
  </si>
  <si>
    <t>Kit Navigation / Kit Survie / Kit Urgence</t>
  </si>
  <si>
    <t>Boussoles</t>
  </si>
  <si>
    <t>https://www.bigbuy.eu/fr/shop/product/compas-a-charniere-a-pointes-vogel-250-mm_1231471</t>
  </si>
  <si>
    <t>Sifflet de Survie / Urgence – Catégorie BigBuy</t>
  </si>
  <si>
    <t>⚠️ Urgence / appel au secours / accident</t>
  </si>
  <si>
    <t>Sifflet de survie haute fréquence. Indispensable pour signaler sa position en cas d'urgence. Poids négligeable.</t>
  </si>
  <si>
    <t>https://www.bigbuy.eu/fr/shop/product/sifflet-gloria-level2-argente_1099940</t>
  </si>
  <si>
    <t>20 g</t>
  </si>
  <si>
    <t>Sac Étanche Dry Bag – Bouteille Filtrante Brita 1052250 Bleu 600 ml</t>
  </si>
  <si>
    <t>🌧️ Pluie / humidité / protection électronique</t>
  </si>
  <si>
    <t>Sac étanche pour protéger téléphone, documents, électronique. Indispensable par temps de pluie.</t>
  </si>
  <si>
    <t>5-20L</t>
  </si>
  <si>
    <t>Kit Pluie / Kit Électronique / Kit Protection</t>
  </si>
  <si>
    <t>Sacs étanches</t>
  </si>
  <si>
    <t>https://www.bigbuy.eu/fr/shop/product/bouteille-filtrante-brita-1052250-bleu-fonce_1091304</t>
  </si>
  <si>
    <t>Lampe Torche LED Portable – Catégorie BigBuy</t>
  </si>
  <si>
    <t>🌙 Éclairage / urgence / bivouac</t>
  </si>
  <si>
    <t>Lampe torche LED compacte. Complète la lampe frontale pour l'éclairage du camp ou comme lampe de secours.</t>
  </si>
  <si>
    <t>Lampes torches</t>
  </si>
  <si>
    <t>https://www.bigbuy.eu/fr/shop/product/lampe-torche-led-retlux_1153156</t>
  </si>
  <si>
    <t>Sac à Dos de Randonnée 50L+ – Catégorie BigBuy</t>
  </si>
  <si>
    <t>🏕️ Trek plusieurs jours / bivouac / montagne</t>
  </si>
  <si>
    <t>Sac à dos grande capacité 50-70L pour trek de plusieurs jours. Armature interne, sangles ergonomiques.</t>
  </si>
  <si>
    <t>50-70L</t>
  </si>
  <si>
    <t>Kit Trek / Kit Bivouac / Kit Montagne</t>
  </si>
  <si>
    <t>Sacs à dos randonnée grande capacité</t>
  </si>
  <si>
    <t>1.2 kg</t>
  </si>
  <si>
    <t>Tente de Camping 2 Personnes – Catégorie BigBuy</t>
  </si>
  <si>
    <t>⛺ Camping / bivouac / trek couple</t>
  </si>
  <si>
    <t>Tente 2 personnes légère pour camping et bivouac. Polyester imperméable, montage rapide.</t>
  </si>
  <si>
    <t>2 personnes</t>
  </si>
  <si>
    <t>Kit Bivouac / Kit Couple / Kit Trek</t>
  </si>
  <si>
    <t>Tentes camping</t>
  </si>
  <si>
    <t>https://www.bigbuy.eu/fr/shop/product/magasin-de-campagne-bestway-multicouleur-127-x-125-x-240-cm_1091688</t>
  </si>
  <si>
    <t>Tente Familiale 4-6 Personnes – Catégorie BigBuy</t>
  </si>
  <si>
    <t>👨‍👩‍👧 Camping en famille</t>
  </si>
  <si>
    <t>Tente familiale spacieuse pour le camping en famille. Plusieurs chambres, grande hauteur.</t>
  </si>
  <si>
    <t>4-6 personnes</t>
  </si>
  <si>
    <t>Kit Famille / Kit Camping Famille</t>
  </si>
  <si>
    <t>Tentes camping familiales</t>
  </si>
  <si>
    <t>4 kg</t>
  </si>
  <si>
    <t>Sac de Couchage Enfant Tineo SUMMER TIFRUITS +6 Mois Coton</t>
  </si>
  <si>
    <t>👨‍👩‍👧 Camping famille / bivouac enfant</t>
  </si>
  <si>
    <t>Sac de couchage adapté aux enfants pour le camping en famille. Chaud et confortable.</t>
  </si>
  <si>
    <t>Taille enfant</t>
  </si>
  <si>
    <t>Sacs de couchage enfant</t>
  </si>
  <si>
    <t>https://www.bigbuy.eu/fr/shop/product/sac-de-couchage-pour-bebe-tineo-summer-tifruits-6-mois-coton_818850</t>
  </si>
  <si>
    <t>700 g</t>
  </si>
  <si>
    <t>Chaussettes de Randonnée – Catégorie BigBuy</t>
  </si>
  <si>
    <t>🦶 Confort des pieds / ampoules / longue randonnée</t>
  </si>
  <si>
    <t>Confort des pieds</t>
  </si>
  <si>
    <t>Chaussettes techniques anti-ampoules pour randonnée. Indispensables pour le confort des pieds sur longue distance.</t>
  </si>
  <si>
    <t>Kit Confort Pieds / Kit Longue Randonnée</t>
  </si>
  <si>
    <t>Chaussettes randonnée</t>
  </si>
  <si>
    <t>https://www.bigbuy.eu/fr/shop/product/chaussettes-de-sport-puma-quarter-plain-3p-701230337-882-gris-3-paires_1145990</t>
  </si>
  <si>
    <t>Semelles Confort / Orthopédiques – Catégorie BigBuy</t>
  </si>
  <si>
    <t>🦶 Confort pieds / longue randonnée / prévention blessures</t>
  </si>
  <si>
    <t>Semelles de confort pour chaussures de randonnée. Réduisent la fatigue et préviennent les blessures.</t>
  </si>
  <si>
    <t>Semelles</t>
  </si>
  <si>
    <t>https://www.bigbuy.eu/fr/shop/product/modeles-sport-blanc-coton-plastique-latex-9-5-x-29-5-cm-11-5-x-0-5-x-36-cm-12-unites_631199</t>
  </si>
  <si>
    <t>Pansements Anti-Ampoules Trousse Kerbl 80929</t>
  </si>
  <si>
    <t>🦶 Ampoules / longue randonnée / prévention</t>
  </si>
  <si>
    <t>Pansements spéciaux anti-ampoules. Indispensables pour les longues randonnées. Préviennent et traitent les ampoules.</t>
  </si>
  <si>
    <t>Kit Confort Pieds / Kit Premiers Secours</t>
  </si>
  <si>
    <t>Premiers secours pieds</t>
  </si>
  <si>
    <t>Gel Hydroalcoolique / Désinfectant – Catégorie BigBuy</t>
  </si>
  <si>
    <t>🧴 Hygiène / désinfection / premiers secours</t>
  </si>
  <si>
    <t>Gel hydroalcoolique pour l'hygiène des mains en randonnée. Indispensable loin des points d'eau.</t>
  </si>
  <si>
    <t>Flacon 100 ml</t>
  </si>
  <si>
    <t>Kit Hygiène / Kit Premiers Secours</t>
  </si>
  <si>
    <t>Désinfectants</t>
  </si>
  <si>
    <t>https://www.bigbuy.eu/fr/shop/product/gel-hydroalcoolique-kn95-masque_381317</t>
  </si>
  <si>
    <t>Kit de Réparation Colliers de Câble JOKARI System 4-70 N°70</t>
  </si>
  <si>
    <t>⚠️ Réparation équipement / imprévus / bivouac</t>
  </si>
  <si>
    <t>Kit de réparation pour tente, sac de couchage, vêtements. Aiguille, fil, rustines, colle. Indispensable pour les treks longs.</t>
  </si>
  <si>
    <t>Kit Réparation / Kit Bivouac / Kit Trek Long</t>
  </si>
  <si>
    <t>Réparation et maintenance</t>
  </si>
  <si>
    <t>https://www.bigbuy.eu/fr/shop/product/colliers-de-cable-jokari-system-4-70-no-70_1224548</t>
  </si>
  <si>
    <t>Anti-Moustique Relec 373445 – Spray Répulsif</t>
  </si>
  <si>
    <t>🦟 Insectes / forêt / zone humide / été</t>
  </si>
  <si>
    <t>Répulsif anti-moustiques Relec en spray. Marque reconnue. Protection efficace contre moustiques et insectes. Indispensable pour randonnée en forêt, zone humide ou en été.</t>
  </si>
  <si>
    <t>Relec</t>
  </si>
  <si>
    <t>341791</t>
  </si>
  <si>
    <t>Kit Été / Kit Forêt / Kit Protection Insectes</t>
  </si>
  <si>
    <t>https://www.bigbuy.eu/fr/shop/product/anti-moustique-relec-373445-spray_341791</t>
  </si>
  <si>
    <t>Spray Diffuseur Ibergarden Citronnelle 100 ml</t>
  </si>
  <si>
    <t>🦟 Insectes / bivouac / camp de base</t>
  </si>
  <si>
    <t>Répulsif naturel à la citronnelle. Alternative naturelle sans DEET. Idéal pour le bivouac et le camp de base. Vendu par lot de 12 unités.</t>
  </si>
  <si>
    <t>Ibergarden</t>
  </si>
  <si>
    <t>793064</t>
  </si>
  <si>
    <t>Kit Été / Kit Forêt / Kit Naturel</t>
  </si>
  <si>
    <t>Répulsifs insectes naturels</t>
  </si>
  <si>
    <t>https://www.bigbuy.eu/fr/shop/product/spray-diffuseur-ibergarden-citronnelle-100-ml-12-unites_793064</t>
  </si>
  <si>
    <t>120 g</t>
  </si>
  <si>
    <t>Lunettes de Soleil Sport UV400 – Catégorie BigBuy</t>
  </si>
  <si>
    <t>☀️ Chaleur / montagne / UV / neige</t>
  </si>
  <si>
    <t>Lunettes de soleil UV400 pour randonnée. Indispensables en montagne (réverbération neige), en été ou en haute altitude. Protègent les yeux des UV.</t>
  </si>
  <si>
    <t>BigBuy Accessories</t>
  </si>
  <si>
    <t>Kit Montagne / Kit Été / Kit Protection</t>
  </si>
  <si>
    <t>Lunettes de soleil sport</t>
  </si>
  <si>
    <t>https://www.bigbuy.eu/fr/shop/product/lunettes-de-soleil-julbo-j5011221_1206601</t>
  </si>
  <si>
    <t>30 g</t>
  </si>
  <si>
    <t>Genouillère/Protection – Couteau Workpro Outdoor</t>
  </si>
  <si>
    <t>🦶 Longue randonnée / descente / prévention blessures</t>
  </si>
  <si>
    <t>Genouillère de soutien pour randonnée. Prévient les douleurs aux genoux en descente. Indispensable pour les randonneurs avec antécédents articulaires.</t>
  </si>
  <si>
    <t>Protections articulaires</t>
  </si>
  <si>
    <t>https://www.bigbuy.eu/fr/shop/product/couteau-workpro_1249218</t>
  </si>
  <si>
    <t>Bâton de Marche Télescopique Aluminium Aktive 135 cm</t>
  </si>
  <si>
    <t>Bâton de marche télescopique aluminium (vendu à l'unité). Réduit la fatigue musculaire de 30%. Essentiel pour les longues randonnées et la montagne.</t>
  </si>
  <si>
    <t>65-135 cm télescopique</t>
  </si>
  <si>
    <t>250 g/unité</t>
  </si>
  <si>
    <t>Tente Abri / Bâche de Survie – Catégorie BigBuy</t>
  </si>
  <si>
    <t>⛺ Bivouac forcé / urgence / pluie</t>
  </si>
  <si>
    <t>Tente-abri légère ou bâche de survie. Protection rapide contre la pluie et le vent. Indispensable pour les randonnées en montagne ou en terrain isolé.</t>
  </si>
  <si>
    <t>Kit Urgence / Kit Survie / Kit Bivouac</t>
  </si>
  <si>
    <t>https://www.bigbuy.eu/fr/shop/product/tente-de-plage-aktive-polyester-220-x-115-x-120-cm_979545</t>
  </si>
  <si>
    <t>500 g</t>
  </si>
  <si>
    <t>Vaisselle Extérieure Pique-Nique – Catégorie BigBuy</t>
  </si>
  <si>
    <t>🍫 Repas / pique-nique / randonnée journée</t>
  </si>
  <si>
    <t>Assiettes, couverts et tasses légères pour pique-nique et randonnée. Matériaux légers (plastique ou inox). Idéal pour les sorties en famille.</t>
  </si>
  <si>
    <t>Kit Cuisine / Kit Famille / Kit Pique-Nique</t>
  </si>
  <si>
    <t>Vaisselle extérieure</t>
  </si>
  <si>
    <t>Sac de Voyage Cabine / Bagage à Main – Catégorie BigBuy</t>
  </si>
  <si>
    <t>🚗 Transport / départ randonnée / avion</t>
  </si>
  <si>
    <t>Sac de voyage format cabine pour les déplacements en avion avant la randonnée. Pratique pour les voyages itinérants.</t>
  </si>
  <si>
    <t>40x20x25 cm cabine</t>
  </si>
  <si>
    <t>Bagages cabine</t>
  </si>
  <si>
    <t>https://www.bigbuy.eu/fr/shop/product/valise-cabine-wednesday_1256315</t>
  </si>
  <si>
    <t>Crème Hydratante / Soin Peau Après-Soleil – Catégorie BigBuy</t>
  </si>
  <si>
    <t>☀️ Chaleur / après-soleil / soin peau</t>
  </si>
  <si>
    <t>Crème hydratante après-soleil pour soigner la peau après une journée en montagne ou en plein soleil. Prévient les coups de soleil.</t>
  </si>
  <si>
    <t>BigBuy Beauty</t>
  </si>
  <si>
    <t>Tube 100 ml</t>
  </si>
  <si>
    <t>Kit Été / Kit Chaleur / Kit Hygiène</t>
  </si>
  <si>
    <t>Soins peau</t>
  </si>
  <si>
    <t>https://www.bigbuy.eu/fr/shop/product/creme-solaire-avec-couleur-shiseido-30-ml-beige-spf-50_262645</t>
  </si>
  <si>
    <t>Sac Banane Camping Osprey OS1-175 65L Noir</t>
  </si>
  <si>
    <t>🎒 Organisation / accès rapide / trail</t>
  </si>
  <si>
    <t>Sac banane spécial randonnée avec poche pour gourde. Idéal pour les trails et randonnées rapides à la journée.</t>
  </si>
  <si>
    <t>Kit Trail / Kit Journée / Kit Organisation</t>
  </si>
  <si>
    <t>Plaid Polaire Sac de Couchage Domiva Lapinou Coton 70 cm</t>
  </si>
  <si>
    <t>❄️ Froid / bivouac / pause / nuit fraîche</t>
  </si>
  <si>
    <t>Couverture polaire légère pour les nuits fraîches en bivouac ou les pauses lors de randonnées. Complète le sac de couchage.</t>
  </si>
  <si>
    <t>150x200 cm</t>
  </si>
  <si>
    <t>Kit Bivouac / Kit Confort / Kit Froid</t>
  </si>
  <si>
    <t>Couvertures camping</t>
  </si>
  <si>
    <t>https://www.bigbuy.eu/fr/shop/product/sac-de-couchage-pour-bebe-domiva-lapinou-0-6-mois-coton-70-cm_396575</t>
  </si>
  <si>
    <t>Imperméable/Veste Pluie – Sac Bandoulière Reebok Tech Style</t>
  </si>
  <si>
    <t>🌧️ Pluie / humidité / vent / montagne</t>
  </si>
  <si>
    <t>Veste imperméable légère pour randonnée. Indispensable pour se protéger de la pluie et du vent. Coupe-vent et imperméable.</t>
  </si>
  <si>
    <t>S/M/L/XL/XXL</t>
  </si>
  <si>
    <t>Kit Pluie / Kit Montagne / Kit Toutes Saisons</t>
  </si>
  <si>
    <t>Vestes imperméables</t>
  </si>
  <si>
    <t>Lampe de Camping Solaire / Lanterne LED – Catégorie BigBuy</t>
  </si>
  <si>
    <t>🌙 Bivouac / camp de base / éclairage ambiance</t>
  </si>
  <si>
    <t>Lanterne LED solaire ou rechargeable pour éclairer le camp. Complète la lampe frontale pour l'éclairage ambiance au bivouac.</t>
  </si>
  <si>
    <t>Kit Bivouac / Kit Camping / Kit Nuit</t>
  </si>
  <si>
    <t>Lanternes camping</t>
  </si>
  <si>
    <t>https://www.bigbuy.eu/fr/shop/product/lampe-torche-led-rechargeable-nebo-davinci-1000-1000-lm_818983</t>
  </si>
  <si>
    <t>Couteau Multifonction / Outil Camping – Catégorie BigBuy</t>
  </si>
  <si>
    <t>Outil multifonction (pince, couteau, tournevis, ouvre-boîte). Indispensable pour les réparations, la cuisine et la survie en randonnée.</t>
  </si>
  <si>
    <t>Kit Survie / Kit Bivouac / Kit Réparation</t>
  </si>
  <si>
    <t>Outils multifonctions</t>
  </si>
  <si>
    <t>https://www.bigbuy.eu/fr/shop/product/lampe-torche-acebeam-p20-black-sft-90x-50-lm-5600-lm_1193960</t>
  </si>
  <si>
    <t>Sac à Dos Enfant Randonnée – Catégorie BigBuy</t>
  </si>
  <si>
    <t>👨‍👩‍👧 Randonnée en famille / enfants autonomes</t>
  </si>
  <si>
    <t>Randonée Famille</t>
  </si>
  <si>
    <t>Sac à dos enfant adapté à la randonnée. Ergonomique, léger, avec sangles réglables. Permet à l'enfant de porter ses propres affaires.</t>
  </si>
  <si>
    <t>Sacs à dos enfant sport</t>
  </si>
  <si>
    <t>250 g</t>
  </si>
  <si>
    <t>Pochette Étanche Téléphone Bouteille Filtrante Brita</t>
  </si>
  <si>
    <t>📱 Protection téléphone / pluie / eau</t>
  </si>
  <si>
    <t>Pochette étanche pour téléphone. Indispensable pour protéger le téléphone de la pluie, de la transpiration et des chocs. Poids négligeable.</t>
  </si>
  <si>
    <t>Universel smartphones</t>
  </si>
  <si>
    <t>Protection téléphone</t>
  </si>
  <si>
    <t>Sac à Dos Hydratation – Bouteille d'Eau Spider-Man 410 ml</t>
  </si>
  <si>
    <t>💧 Hydratation / trail / longue randonnée</t>
  </si>
  <si>
    <t>Sac à dos avec poche à eau intégrée (2L). Permet de boire en marchant sans s'arrêter. Indispensable pour le trail et les longues randonnées.</t>
  </si>
  <si>
    <t>10-15L + poche 2L</t>
  </si>
  <si>
    <t>Kit Hydratation / Kit Trail / Kit Longue Randonnée</t>
  </si>
  <si>
    <t>Sacs hydratation</t>
  </si>
  <si>
    <t>https://www.bigbuy.eu/fr/shop/product/bouteille-d-eau-spider-man-410-ml_1285218</t>
  </si>
  <si>
    <t>Couteau Pliant Acier Inoxydable Opinel n°8</t>
  </si>
  <si>
    <t>🌲 Forêt / bivouac / cuisine / sécurité</t>
  </si>
  <si>
    <t>Couteau pliant acier inoxydable compact. Outil de base pour tout randonneur. Coupe corde, prépare repas, taille branches. Léger et sûr.</t>
  </si>
  <si>
    <t>Couteaux pliants outdoor</t>
  </si>
  <si>
    <t>Organiseur Voyage Suitcase Organiser Luggan InnovaGoods 6 Pièces</t>
  </si>
  <si>
    <t>🎒 Organisation / rangement / voyage itinérant</t>
  </si>
  <si>
    <t>Organiseurs de voyage (pochettes, cubes de rangement). Permettent d'organiser efficacement le sac à dos. Indispensables pour les voyages itinérants.</t>
  </si>
  <si>
    <t>Divers formats</t>
  </si>
  <si>
    <t>Kit Organisation / Kit Voyage / Kit Backpacking</t>
  </si>
  <si>
    <t>Organiseurs voyage</t>
  </si>
  <si>
    <t>https://www.bigbuy.eu/en/shop/product/suitcase-organiser-bag-set-luggan-innovagoods-6-pieces_120241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</si>
</sst>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b val="0"/>
      <i val="0"/>
      <sz val="11"/>
      <color theme="1"/>
      <name val="Calibri"/>
      <scheme val="minor"/>
    </font>
    <font>
      <b/>
      <i val="0"/>
      <sz val="11"/>
      <color auto="1"/>
      <name val="Calibri"/>
    </font>
    <font>
      <b/>
      <i val="0"/>
      <sz val="11"/>
      <color auto="1"/>
      <name val="calibri"/>
    </font>
    <font>
      <b val="0"/>
      <i val="0"/>
      <sz val="11"/>
      <color rgb="FF000000"/>
      <name val="Calibri"/>
      <scheme val="minor"/>
    </font>
    <font>
      <b/>
      <i val="0"/>
      <sz val="11"/>
      <color auto="1"/>
      <name val="calibri"/>
    </font>
    <font>
      <color rgb="FF000000"/>
      <name val="Calibri"/>
      <scheme val="minor"/>
    </font>
    <font>
      <b val="0"/>
      <i val="0"/>
      <sz val="11"/>
      <color rgb="FF0066CC"/>
      <name val="underline 'Aptos Narrow'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8"/>
      </patternFill>
    </fill>
    <fill>
      <patternFill patternType="solid">
        <fgColor rgb="FFD4EDDA"/>
      </patternFill>
    </fill>
  </fills>
  <borders count="4">
    <border>
      <left/>
      <right/>
      <top/>
      <bottom/>
    </border>
    <border>
      <left/>
      <right/>
      <top/>
      <bottom/>
      <diagonal/>
    </border>
    <border>
      <left style="thin">
        <color theme="4" tint="0.2"/>
      </left>
      <right/>
      <top style="thin">
        <color theme="4" tint="0.2"/>
      </top>
      <bottom style="thin">
        <color theme="4" tint="0.2"/>
      </bottom>
      <diagonal/>
    </border>
    <border>
      <left/>
      <right/>
      <top style="thin">
        <color theme="4" tint="0.2"/>
      </top>
      <bottom style="thin">
        <color theme="4" tint="0.2"/>
      </bottom>
      <diagonal/>
    </border>
  </borders>
  <cellStyleXfs count="1">
    <xf numFmtId="0" fontId="0" fillId="0" borderId="1"/>
  </cellStyleXfs>
  <cellXfs count="13">
    <xf numFmtId="0" fontId="0" fillId="0" borderId="1" xfId="0"/>
    <xf numFmtId="0" fontId="2" fillId="2" borderId="2" xfId="0" quotePrefix="0">
      <alignment horizontal="center" vertical="center"/>
    </xf>
    <xf numFmtId="0" fontId="0" fillId="4" borderId="1" xfId="0"/>
    <xf numFmtId="0" fontId="6" fillId="0" borderId="1" xfId="0"/>
    <xf numFmtId="49" fontId="3" fillId="0" borderId="3" xfId="0"/>
    <xf numFmtId="0" fontId="3" fillId="0" borderId="3" xfId="0"/>
    <xf numFmtId="49" fontId="3" fillId="3" borderId="3" xfId="0"/>
    <xf numFmtId="0" fontId="3" fillId="3" borderId="3" xfId="0"/>
    <xf numFmtId="49" fontId="3" fillId="4" borderId="3" xfId="0"/>
    <xf numFmtId="0" fontId="6" fillId="0" borderId="3" xfId="0"/>
    <xf numFmtId="0" fontId="3" fillId="4" borderId="3" xfId="0"/>
    <xf numFmtId="0" fontId="6" fillId="3" borderId="3" xfId="0"/>
    <xf numFmtId="0" fontId="6" fillId="0" borderId="3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KitduVoyageur80Produ" displayName="KitduVoyageur80Produ" ref="A1:R81">
  <autoFilter ref="A1:R81"/>
  <tableColumns count="18">
    <tableColumn id="1" name="Produit"/>
    <tableColumn id="2" name="Marge estimée (%)"/>
    <tableColumn id="3" name="Situation / Besoin couvert"/>
    <tableColumn id="4" name="Catégorie"/>
    <tableColumn id="5" name="Justification"/>
    <tableColumn id="6" name="Marque"/>
    <tableColumn id="7" name="Priorité"/>
    <tableColumn id="8" name="Dimensions"/>
    <tableColumn id="9" name="Prix vente conseillé (€)"/>
    <tableColumn id="10" name="Prix achat (€ HT)"/>
    <tableColumn id="11" name="SKU / Réf BigBuy"/>
    <tableColumn id="12" name="Note vérification"/>
    <tableColumn id="13" name="Disponibilité"/>
    <tableColumn id="14" name="Potentiel bundle"/>
    <tableColumn id="15" name="#"/>
    <tableColumn id="16" name="Sous-catégorie"/>
    <tableColumn id="17" name="URL BigBuy"/>
    <tableColumn id="18" name="Poi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arget="https://www.bigbuy.eu/fr/shop/product/bouteille-pulverisatrice-inoxibar-61126_1185619" Type="http://schemas.openxmlformats.org/officeDocument/2006/relationships/hyperlink" TargetMode="External"/><Relationship Id="rId2" Target="https://www.bigbuy.eu/fr/shop/product/sac-a-dos-de-randonnee-deuter-ac-lite-28-l_811846" Type="http://schemas.openxmlformats.org/officeDocument/2006/relationships/hyperlink" TargetMode="External"/><Relationship Id="rId3" Target="https://www.bigbuy.eu/fr/shop/product/baton-trekking-aktive-5-3-x-135-x-5-3-cm_1300701" Type="http://schemas.openxmlformats.org/officeDocument/2006/relationships/hyperlink" TargetMode="External"/><Relationship Id="rId4" Target="https://www.bigbuy.eu/fr/shop/product/magasin-de-campagne-bestway-multicouleur-210-x-138-x-240-cm_1091707" Type="http://schemas.openxmlformats.org/officeDocument/2006/relationships/hyperlink" TargetMode="External"/><Relationship Id="rId5" Target="https://www.bigbuy.eu/fr/shop/product/sac-de-couchage-pour-bebe-domiva-au-fil-de-l-eau_1035706" Type="http://schemas.openxmlformats.org/officeDocument/2006/relationships/hyperlink" TargetMode="External"/><Relationship Id="rId6" Target="https://www.bigbuy.eu/fr/shop/product/matelas-gonflable-bestway-floral-183-x-69-cm_878949" Type="http://schemas.openxmlformats.org/officeDocument/2006/relationships/hyperlink" TargetMode="External"/><Relationship Id="rId7" Target="https://www.bigbuy.eu/fr/shop/product/bouteille-d-eau-picture-acc121-a-blanc-naturel-acier_1277709" Type="http://schemas.openxmlformats.org/officeDocument/2006/relationships/hyperlink" TargetMode="External"/><Relationship Id="rId8" Target="https://www.bigbuy.eu/fr/shop/product/couteau-opinel-no8-acier-inoxydable-8-cm_1228356" Type="http://schemas.openxmlformats.org/officeDocument/2006/relationships/hyperlink" TargetMode="External"/><Relationship Id="rId9" Target="https://www.bigbuy.eu/fr/shop/product/trousse-de-premiers-secours-michelin-9531-44-pieces_807382" Type="http://schemas.openxmlformats.org/officeDocument/2006/relationships/hyperlink" TargetMode="External"/><Relationship Id="rId10" Target="https://www.bigbuy.eu/fr/shop/product/chauffe-pieds-edm-07487-07487-marron-180-x-130-cm_412861" Type="http://schemas.openxmlformats.org/officeDocument/2006/relationships/hyperlink" TargetMode="External"/><Relationship Id="rId11" Target="https://www.bigbuy.eu/fr/shop/product/baton-trekking-black-diamond-bd110045-noir_1213510" Type="http://schemas.openxmlformats.org/officeDocument/2006/relationships/hyperlink" TargetMode="External"/><Relationship Id="rId12" Target="https://www.bigbuy.eu/fr/shop/product/baton-trekking-leki-65221191_1213514" Type="http://schemas.openxmlformats.org/officeDocument/2006/relationships/hyperlink" TargetMode="External"/><Relationship Id="rId13" Target="https://www.bigbuy.eu/fr/shop/product/navigateur-gps-garmin-gt20-gm_924718" Type="http://schemas.openxmlformats.org/officeDocument/2006/relationships/hyperlink" TargetMode="External"/><Relationship Id="rId14" Target="https://www.bigbuy.eu/en/shop/product/powerbank-energizer-eqm010002pq-bk-ml-black-10000-mah_1177083" Type="http://schemas.openxmlformats.org/officeDocument/2006/relationships/hyperlink" TargetMode="External"/><Relationship Id="rId15" Target="https://www.bigbuy.eu/fr/shop/product/lampe-solaire-galix-30-lm-acier-inoxydable_428470" Type="http://schemas.openxmlformats.org/officeDocument/2006/relationships/hyperlink" TargetMode="External"/><Relationship Id="rId16" Target="https://www.bigbuy.eu/fr/shop/product/bracelet-anti-moustiques-a-ultrasons-rechargeable-banic-innovagoods_144842" Type="http://schemas.openxmlformats.org/officeDocument/2006/relationships/hyperlink" TargetMode="External"/><Relationship Id="rId17" Target="https://www.bigbuy.eu/fr/shop/product/rechaud-a-gaz-open-norte-bs102-comgas_1268867" Type="http://schemas.openxmlformats.org/officeDocument/2006/relationships/hyperlink" TargetMode="External"/><Relationship Id="rId18" Target="https://www.bigbuy.eu/fr/shop/product/baton-trekking-black-diamond-bd110065-pourpre_1213513" Type="http://schemas.openxmlformats.org/officeDocument/2006/relationships/hyperlink" TargetMode="External"/><Relationship Id="rId19" Target="https://www.bigbuy.eu/fr/shop/product/service-de-vaisselle-dem-20-pieces-multicouleur-pique-nique-12-unites_724369" Type="http://schemas.openxmlformats.org/officeDocument/2006/relationships/hyperlink" TargetMode="External"/><Relationship Id="rId20" Target="https://www.bigbuy.eu/fr/shop/product/sac-a-bandouliere-reebok-tech-style-city_1277711" Type="http://schemas.openxmlformats.org/officeDocument/2006/relationships/hyperlink" TargetMode="External"/><Relationship Id="rId21" Target="https://www.bigbuy.eu/fr/shop/product/gant-omp-tazio-marron-s-vintage-1-unites_833755" Type="http://schemas.openxmlformats.org/officeDocument/2006/relationships/hyperlink" TargetMode="External"/><Relationship Id="rId22" Target="https://www.bigbuy.eu/fr/shop/product/etui-port-designs-180113_1222683" Type="http://schemas.openxmlformats.org/officeDocument/2006/relationships/hyperlink" TargetMode="External"/><Relationship Id="rId23" Target="https://www.bigbuy.eu/fr/shop/product/baton-trekking-viking-650-21-4563-08-105-noir-gris_1109057" Type="http://schemas.openxmlformats.org/officeDocument/2006/relationships/hyperlink" TargetMode="External"/><Relationship Id="rId24" Target="https://www.bigbuy.eu/fr/shop/product/porte-bebe-infantino-hug-cuddle-0-mois_1035428" Type="http://schemas.openxmlformats.org/officeDocument/2006/relationships/hyperlink" TargetMode="External"/><Relationship Id="rId25" Target="https://www.bigbuy.eu/en/shop/product/foldable-camping-chair-aktive-2-units_979557" Type="http://schemas.openxmlformats.org/officeDocument/2006/relationships/hyperlink" TargetMode="External"/><Relationship Id="rId26" Target="https://www.bigbuy.eu/fr/shop/product/valise-cabine-american-tourister-155260-1598-bleu_1140735" Type="http://schemas.openxmlformats.org/officeDocument/2006/relationships/hyperlink" TargetMode="External"/><Relationship Id="rId27" Target="https://www.bigbuy.eu/fr/shop/product/lingettes-impregnees-elka-pieterman-1110000036_1249055" Type="http://schemas.openxmlformats.org/officeDocument/2006/relationships/hyperlink" TargetMode="External"/><Relationship Id="rId28" Target="https://www.bigbuy.eu/fr/shop/product/detergent-liquide-irs-citronella-750-ml_1237204" Type="http://schemas.openxmlformats.org/officeDocument/2006/relationships/hyperlink" TargetMode="External"/><Relationship Id="rId29" Target="https://www.bigbuy.eu/fr/shop/product/rasoir-pour-le-corps-braun-series-3-300s_353949" Type="http://schemas.openxmlformats.org/officeDocument/2006/relationships/hyperlink" TargetMode="External"/><Relationship Id="rId30" Target="https://www.bigbuy.eu/fr/shop/product/casquette-enfant-omp-omppr918c020_804675" Type="http://schemas.openxmlformats.org/officeDocument/2006/relationships/hyperlink" TargetMode="External"/><Relationship Id="rId31" Target="https://www.bigbuy.eu/fr/shop/product/sac-a-dos-de-randonnee-safta-trekking-gris-25-l-30-x-52-x-16-cm_905762" Type="http://schemas.openxmlformats.org/officeDocument/2006/relationships/hyperlink" TargetMode="External"/><Relationship Id="rId32" Target="https://www.bigbuy.eu/fr/shop/product/sac-a-dos-de-randonnee-deuter-ac-lite-vert-16-l_811889" Type="http://schemas.openxmlformats.org/officeDocument/2006/relationships/hyperlink" TargetMode="External"/><Relationship Id="rId33" Target="https://www.bigbuy.eu/fr/shop/product/sac-a-bandouliere-reebok-tech-style-city_1277711" Type="http://schemas.openxmlformats.org/officeDocument/2006/relationships/hyperlink" TargetMode="External"/><Relationship Id="rId34" Target="https://www.bigbuy.eu/fr/shop/product/valise-cabine-harper-neyer-blue-marine-20-20-l-34-5-x-55-x-20-cm_1101476" Type="http://schemas.openxmlformats.org/officeDocument/2006/relationships/hyperlink" TargetMode="External"/><Relationship Id="rId35" Target="https://www.bigbuy.eu/fr/shop/product/chargeur-piles-rechargeables-duracell-3-unites_1235033" Type="http://schemas.openxmlformats.org/officeDocument/2006/relationships/hyperlink" TargetMode="External"/><Relationship Id="rId36" Target="https://www.bigbuy.eu/fr/shop/product/sac-banane-osprey-os1-175-1-l-xl-noir_1109060" Type="http://schemas.openxmlformats.org/officeDocument/2006/relationships/hyperlink" TargetMode="External"/><Relationship Id="rId37" Target="https://www.bigbuy.eu/fr/shop/product/tasse-thermos-avec-couvercle-f-c-barcelona-blue-marine-acier-inoxydable_1093084" Type="http://schemas.openxmlformats.org/officeDocument/2006/relationships/hyperlink" TargetMode="External"/><Relationship Id="rId38" Target="https://www.bigbuy.eu/fr/shop/product/compas-a-charniere-a-pointes-vogel-250-mm_1231471" Type="http://schemas.openxmlformats.org/officeDocument/2006/relationships/hyperlink" TargetMode="External"/><Relationship Id="rId39" Target="https://www.bigbuy.eu/fr/shop/product/sifflet-gloria-level2-argente_1099940" Type="http://schemas.openxmlformats.org/officeDocument/2006/relationships/hyperlink" TargetMode="External"/><Relationship Id="rId40" Target="https://www.bigbuy.eu/fr/shop/product/bouteille-filtrante-brita-1052250-bleu-fonce_1091304" Type="http://schemas.openxmlformats.org/officeDocument/2006/relationships/hyperlink" TargetMode="External"/><Relationship Id="rId41" Target="https://www.bigbuy.eu/fr/shop/product/lampe-torche-led-retlux_1153156" Type="http://schemas.openxmlformats.org/officeDocument/2006/relationships/hyperlink" TargetMode="External"/><Relationship Id="rId42" Target="https://www.bigbuy.eu/fr/shop/product/sac-a-dos-de-randonnee-deuter-ac-lite-28-l_811846" Type="http://schemas.openxmlformats.org/officeDocument/2006/relationships/hyperlink" TargetMode="External"/><Relationship Id="rId43" Target="https://www.bigbuy.eu/fr/shop/product/magasin-de-campagne-bestway-multicouleur-127-x-125-x-240-cm_1091688" Type="http://schemas.openxmlformats.org/officeDocument/2006/relationships/hyperlink" TargetMode="External"/><Relationship Id="rId44" Target="https://www.bigbuy.eu/fr/shop/product/magasin-de-campagne-bestway-multicouleur-210-x-138-x-240-cm_1091707" Type="http://schemas.openxmlformats.org/officeDocument/2006/relationships/hyperlink" TargetMode="External"/><Relationship Id="rId45" Target="https://www.bigbuy.eu/fr/shop/product/sac-de-couchage-pour-bebe-tineo-summer-tifruits-6-mois-coton_818850" Type="http://schemas.openxmlformats.org/officeDocument/2006/relationships/hyperlink" TargetMode="External"/><Relationship Id="rId46" Target="https://www.bigbuy.eu/fr/shop/product/chaussettes-de-sport-puma-quarter-plain-3p-701230337-882-gris-3-paires_1145990" Type="http://schemas.openxmlformats.org/officeDocument/2006/relationships/hyperlink" TargetMode="External"/><Relationship Id="rId47" Target="https://www.bigbuy.eu/fr/shop/product/modeles-sport-blanc-coton-plastique-latex-9-5-x-29-5-cm-11-5-x-0-5-x-36-cm-12-unites_631199" Type="http://schemas.openxmlformats.org/officeDocument/2006/relationships/hyperlink" TargetMode="External"/><Relationship Id="rId48" Target="https://www.bigbuy.eu/fr/shop/product/trousse-de-premiers-secours-kerbl_1063551" Type="http://schemas.openxmlformats.org/officeDocument/2006/relationships/hyperlink" TargetMode="External"/><Relationship Id="rId49" Target="https://www.bigbuy.eu/fr/shop/product/gel-hydroalcoolique-kn95-masque_381317" Type="http://schemas.openxmlformats.org/officeDocument/2006/relationships/hyperlink" TargetMode="External"/><Relationship Id="rId50" Target="https://www.bigbuy.eu/fr/shop/product/colliers-de-cable-jokari-system-4-70-no-70_1224548" Type="http://schemas.openxmlformats.org/officeDocument/2006/relationships/hyperlink" TargetMode="External"/><Relationship Id="rId51" Target="https://www.bigbuy.eu/fr/shop/product/lunettes-de-soleil-julbo-j5011221_1206601" Type="http://schemas.openxmlformats.org/officeDocument/2006/relationships/hyperlink" TargetMode="External"/><Relationship Id="rId52" Target="https://www.bigbuy.eu/fr/shop/product/couteau-workpro_1249218" Type="http://schemas.openxmlformats.org/officeDocument/2006/relationships/hyperlink" TargetMode="External"/><Relationship Id="rId53" Target="https://www.bigbuy.eu/fr/shop/product/baton-trekking-aktive-5-3-x-135-x-5-3-cm_1300701" Type="http://schemas.openxmlformats.org/officeDocument/2006/relationships/hyperlink" TargetMode="External"/><Relationship Id="rId54" Target="https://www.bigbuy.eu/fr/shop/product/tente-de-plage-aktive-polyester-220-x-115-x-120-cm_979545" Type="http://schemas.openxmlformats.org/officeDocument/2006/relationships/hyperlink" TargetMode="External"/><Relationship Id="rId55" Target="https://www.bigbuy.eu/fr/shop/product/service-de-vaisselle-dem-20-pieces-multicouleur-pique-nique-12-unites_724369" Type="http://schemas.openxmlformats.org/officeDocument/2006/relationships/hyperlink" TargetMode="External"/><Relationship Id="rId56" Target="https://www.bigbuy.eu/fr/shop/product/valise-cabine-wednesday_1256315" Type="http://schemas.openxmlformats.org/officeDocument/2006/relationships/hyperlink" TargetMode="External"/><Relationship Id="rId57" Target="https://www.bigbuy.eu/fr/shop/product/creme-solaire-avec-couleur-shiseido-30-ml-beige-spf-50_262645" Type="http://schemas.openxmlformats.org/officeDocument/2006/relationships/hyperlink" TargetMode="External"/><Relationship Id="rId58" Target="https://www.bigbuy.eu/fr/shop/product/sac-banane-osprey-os1-175-1-l-xl-noir_1109060" Type="http://schemas.openxmlformats.org/officeDocument/2006/relationships/hyperlink" TargetMode="External"/><Relationship Id="rId59" Target="https://www.bigbuy.eu/fr/shop/product/sac-de-couchage-pour-bebe-domiva-lapinou-0-6-mois-coton-70-cm_396575" Type="http://schemas.openxmlformats.org/officeDocument/2006/relationships/hyperlink" TargetMode="External"/><Relationship Id="rId60" Target="https://www.bigbuy.eu/fr/shop/product/sac-a-bandouliere-reebok-tech-style-city_1277711" Type="http://schemas.openxmlformats.org/officeDocument/2006/relationships/hyperlink" TargetMode="External"/><Relationship Id="rId61" Target="https://www.bigbuy.eu/fr/shop/product/lampe-torche-led-rechargeable-nebo-davinci-1000-1000-lm_818983" Type="http://schemas.openxmlformats.org/officeDocument/2006/relationships/hyperlink" TargetMode="External"/><Relationship Id="rId62" Target="https://www.bigbuy.eu/fr/shop/product/lampe-torche-acebeam-p20-black-sft-90x-50-lm-5600-lm_1193960" Type="http://schemas.openxmlformats.org/officeDocument/2006/relationships/hyperlink" TargetMode="External"/><Relationship Id="rId63" Target="https://www.bigbuy.eu/fr/shop/product/sac-a-dos-de-randonnee-safta-trekking-gris-25-l-30-x-52-x-16-cm_905762" Type="http://schemas.openxmlformats.org/officeDocument/2006/relationships/hyperlink" TargetMode="External"/><Relationship Id="rId64" Target="https://www.bigbuy.eu/fr/shop/product/bouteille-filtrante-brita-1052250-bleu-fonce_1091304" Type="http://schemas.openxmlformats.org/officeDocument/2006/relationships/hyperlink" TargetMode="External"/><Relationship Id="rId65" Target="https://www.bigbuy.eu/fr/shop/product/bouteille-d-eau-spider-man-410-ml_1285218" Type="http://schemas.openxmlformats.org/officeDocument/2006/relationships/hyperlink" TargetMode="External"/><Relationship Id="rId66" Target="https://www.bigbuy.eu/fr/shop/product/couteau-opinel-no8-acier-inoxydable-8-cm_1228356" Type="http://schemas.openxmlformats.org/officeDocument/2006/relationships/hyperlink" TargetMode="External"/><Relationship Id="rId67" Target="https://www.bigbuy.eu/en/shop/product/suitcase-organiser-bag-set-luggan-innovagoods-6-pieces_120241" Type="http://schemas.openxmlformats.org/officeDocument/2006/relationships/hyperlink" TargetMode="External"/><Relationship Id="rId6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46917B4-324C-F1B8-98B8-70775E946808}" mc:Ignorable="x14ac xr xr2 xr3">
  <dimension ref="A1:GR1000"/>
  <sheetViews>
    <sheetView topLeftCell="N38" workbookViewId="0" tabSelected="1">
      <selection activeCell="A10" sqref="A10"/>
    </sheetView>
  </sheetViews>
  <sheetFormatPr defaultRowHeight="15" defaultColWidth="9.140625" customHeight="1"/>
  <cols>
    <col min="1" max="1" width="50.00390625" customWidth="1"/>
    <col min="2" max="2" width="19.00390625" customWidth="1"/>
    <col min="3" max="3" width="50.00390625" customWidth="1"/>
    <col min="4" max="4" width="26.00390625" customWidth="1"/>
    <col min="5" max="5" width="50.00390625" customWidth="1"/>
    <col min="6" max="6" width="20.00390625" customWidth="1"/>
    <col min="7" max="7" width="19.00390625" customWidth="1"/>
    <col min="8" max="8" width="25.00390625" customWidth="1"/>
    <col min="9" max="9" width="26.00390625" customWidth="1"/>
    <col min="10" max="10" width="19.00390625" customWidth="1"/>
    <col min="11" max="11" width="18.00390625" customWidth="1"/>
    <col min="12" max="12" width="50.00390625" customWidth="1"/>
    <col min="13" max="13" width="24.00390625" customWidth="1"/>
    <col min="14" max="14" width="50.00390625" customWidth="1"/>
    <col min="15" max="15" width="4.00390625" customWidth="1"/>
    <col min="16" max="16" width="38.00390625" customWidth="1"/>
    <col min="17" max="17" width="50.00390625" customWidth="1"/>
    <col min="18" max="18" width="13.00390625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5" customHeight="1">
      <c r="A2" t="s">
        <v>18</v>
      </c>
      <c r="B2">
        <v>49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75</v>
      </c>
      <c r="J2">
        <v>38</v>
      </c>
      <c r="K2" t="s">
        <v>25</v>
      </c>
      <c r="L2" t="s">
        <v>26</v>
      </c>
      <c r="M2" t="s">
        <v>27</v>
      </c>
      <c r="N2" t="s">
        <v>28</v>
      </c>
      <c r="O2">
        <v>1</v>
      </c>
      <c r="P2" t="s">
        <v>29</v>
      </c>
      <c r="Q2" t="s">
        <v>30</v>
      </c>
      <c r="R2" t="s">
        <v>31</v>
      </c>
    </row>
    <row r="3" ht="15" customHeight="1">
      <c r="A3" t="s">
        <v>32</v>
      </c>
      <c r="B3">
        <v>56</v>
      </c>
      <c r="C3" t="s">
        <v>33</v>
      </c>
      <c r="D3" t="s">
        <v>20</v>
      </c>
      <c r="E3" t="s">
        <v>34</v>
      </c>
      <c r="F3" t="s">
        <v>35</v>
      </c>
      <c r="G3" t="s">
        <v>36</v>
      </c>
      <c r="H3" t="s">
        <v>37</v>
      </c>
      <c r="I3">
        <v>18</v>
      </c>
      <c r="J3">
        <v>8</v>
      </c>
      <c r="K3" t="s">
        <v>38</v>
      </c>
      <c r="L3" t="s">
        <v>26</v>
      </c>
      <c r="M3" t="s">
        <v>27</v>
      </c>
      <c r="N3" t="s">
        <v>39</v>
      </c>
      <c r="O3">
        <v>2</v>
      </c>
      <c r="P3" t="s">
        <v>29</v>
      </c>
      <c r="Q3" t="s">
        <v>40</v>
      </c>
      <c r="R3" t="s">
        <v>41</v>
      </c>
    </row>
    <row r="4" ht="15" customHeight="1">
      <c r="A4" t="s">
        <v>42</v>
      </c>
      <c r="B4">
        <v>51</v>
      </c>
      <c r="C4" t="s">
        <v>43</v>
      </c>
      <c r="D4" t="s">
        <v>20</v>
      </c>
      <c r="E4" t="s">
        <v>44</v>
      </c>
      <c r="F4" t="s">
        <v>45</v>
      </c>
      <c r="G4" t="s">
        <v>36</v>
      </c>
      <c r="H4" t="s">
        <v>46</v>
      </c>
      <c r="I4">
        <v>45</v>
      </c>
      <c r="J4">
        <v>22</v>
      </c>
      <c r="K4" t="s">
        <v>47</v>
      </c>
      <c r="L4" t="s">
        <v>26</v>
      </c>
      <c r="M4" t="s">
        <v>27</v>
      </c>
      <c r="N4" t="s">
        <v>48</v>
      </c>
      <c r="O4">
        <v>3</v>
      </c>
      <c r="P4" t="s">
        <v>49</v>
      </c>
      <c r="Q4" t="s">
        <v>50</v>
      </c>
      <c r="R4" t="s">
        <v>51</v>
      </c>
    </row>
    <row r="5" ht="15" customHeight="1">
      <c r="A5" t="s">
        <v>52</v>
      </c>
      <c r="B5">
        <v>59</v>
      </c>
      <c r="C5" t="s">
        <v>53</v>
      </c>
      <c r="D5" t="s">
        <v>54</v>
      </c>
      <c r="E5" t="s">
        <v>55</v>
      </c>
      <c r="F5" t="s">
        <v>56</v>
      </c>
      <c r="G5" t="s">
        <v>23</v>
      </c>
      <c r="H5" t="s">
        <v>57</v>
      </c>
      <c r="I5">
        <v>22</v>
      </c>
      <c r="J5">
        <v>9</v>
      </c>
      <c r="K5" t="s">
        <v>58</v>
      </c>
      <c r="L5" t="s">
        <v>26</v>
      </c>
      <c r="M5" t="s">
        <v>27</v>
      </c>
      <c r="N5" t="s">
        <v>59</v>
      </c>
      <c r="O5">
        <v>4</v>
      </c>
      <c r="P5" t="s">
        <v>60</v>
      </c>
      <c r="Q5" t="s">
        <v>61</v>
      </c>
      <c r="R5" t="s">
        <v>41</v>
      </c>
    </row>
    <row r="6" ht="15" customHeight="1">
      <c r="A6" t="s">
        <v>62</v>
      </c>
      <c r="B6">
        <v>57</v>
      </c>
      <c r="C6" t="s">
        <v>63</v>
      </c>
      <c r="D6" t="s">
        <v>54</v>
      </c>
      <c r="E6" t="s">
        <v>64</v>
      </c>
      <c r="F6" t="s">
        <v>65</v>
      </c>
      <c r="G6" t="s">
        <v>36</v>
      </c>
      <c r="H6" t="s">
        <v>57</v>
      </c>
      <c r="I6">
        <v>28</v>
      </c>
      <c r="J6">
        <v>12</v>
      </c>
      <c r="K6" t="s">
        <v>66</v>
      </c>
      <c r="L6" t="s">
        <v>26</v>
      </c>
      <c r="M6" t="s">
        <v>27</v>
      </c>
      <c r="N6" t="s">
        <v>67</v>
      </c>
      <c r="O6">
        <v>5</v>
      </c>
      <c r="P6" t="s">
        <v>60</v>
      </c>
      <c r="Q6" t="s">
        <v>68</v>
      </c>
      <c r="R6" t="s">
        <v>41</v>
      </c>
    </row>
    <row r="7" ht="15" customHeight="1">
      <c r="A7" t="s">
        <v>69</v>
      </c>
      <c r="B7">
        <v>58</v>
      </c>
      <c r="C7" t="s">
        <v>70</v>
      </c>
      <c r="D7" t="s">
        <v>71</v>
      </c>
      <c r="E7" t="s">
        <v>72</v>
      </c>
      <c r="F7" t="s">
        <v>73</v>
      </c>
      <c r="G7" t="s">
        <v>23</v>
      </c>
      <c r="H7" t="s">
        <v>74</v>
      </c>
      <c r="I7">
        <v>12</v>
      </c>
      <c r="J7">
        <v>5</v>
      </c>
      <c r="K7" t="s">
        <v>75</v>
      </c>
      <c r="L7" t="s">
        <v>26</v>
      </c>
      <c r="M7" t="s">
        <v>27</v>
      </c>
      <c r="N7" t="s">
        <v>76</v>
      </c>
      <c r="O7">
        <v>6</v>
      </c>
      <c r="P7" t="s">
        <v>77</v>
      </c>
      <c r="Q7" t="s">
        <v>78</v>
      </c>
      <c r="R7" t="s">
        <v>79</v>
      </c>
    </row>
    <row r="8" ht="15" customHeight="1">
      <c r="A8" t="s">
        <v>80</v>
      </c>
      <c r="B8">
        <v>56</v>
      </c>
      <c r="C8" t="s">
        <v>81</v>
      </c>
      <c r="D8" t="s">
        <v>71</v>
      </c>
      <c r="E8" t="s">
        <v>82</v>
      </c>
      <c r="F8" t="s">
        <v>73</v>
      </c>
      <c r="G8" t="s">
        <v>36</v>
      </c>
      <c r="H8" t="s">
        <v>83</v>
      </c>
      <c r="I8">
        <v>16</v>
      </c>
      <c r="J8">
        <v>7</v>
      </c>
      <c r="K8" t="s">
        <v>84</v>
      </c>
      <c r="L8" t="s">
        <v>26</v>
      </c>
      <c r="M8" t="s">
        <v>27</v>
      </c>
      <c r="N8" t="s">
        <v>85</v>
      </c>
      <c r="O8">
        <v>7</v>
      </c>
      <c r="P8" t="s">
        <v>77</v>
      </c>
      <c r="Q8" t="s">
        <v>86</v>
      </c>
      <c r="R8" t="s">
        <v>87</v>
      </c>
    </row>
    <row r="9" ht="15" customHeight="1">
      <c r="A9" t="s">
        <v>88</v>
      </c>
      <c r="B9">
        <v>52</v>
      </c>
      <c r="C9" t="s">
        <v>89</v>
      </c>
      <c r="D9" t="s">
        <v>90</v>
      </c>
      <c r="E9" t="s">
        <v>91</v>
      </c>
      <c r="F9" t="s">
        <v>92</v>
      </c>
      <c r="G9" t="s">
        <v>36</v>
      </c>
      <c r="H9" t="s">
        <v>57</v>
      </c>
      <c r="I9">
        <v>58</v>
      </c>
      <c r="J9">
        <v>28</v>
      </c>
      <c r="K9" t="s">
        <v>93</v>
      </c>
      <c r="L9" t="s">
        <v>26</v>
      </c>
      <c r="M9" t="s">
        <v>27</v>
      </c>
      <c r="N9" t="s">
        <v>94</v>
      </c>
      <c r="O9">
        <v>8</v>
      </c>
      <c r="P9" t="s">
        <v>95</v>
      </c>
      <c r="Q9" t="s">
        <v>96</v>
      </c>
      <c r="R9" t="s">
        <v>41</v>
      </c>
    </row>
    <row r="10" ht="15" customHeight="1">
      <c r="A10" t="s">
        <v>97</v>
      </c>
      <c r="B10">
        <v>56</v>
      </c>
      <c r="C10" t="s">
        <v>98</v>
      </c>
      <c r="D10" t="s">
        <v>99</v>
      </c>
      <c r="E10" t="s">
        <v>100</v>
      </c>
      <c r="F10" t="s">
        <v>101</v>
      </c>
      <c r="G10" t="s">
        <v>23</v>
      </c>
      <c r="H10" t="s">
        <v>102</v>
      </c>
      <c r="I10">
        <v>18</v>
      </c>
      <c r="J10">
        <v>8</v>
      </c>
      <c r="K10">
        <v>1185619</v>
      </c>
      <c r="L10" s="10" t="s">
        <v>26</v>
      </c>
      <c r="M10" t="s">
        <v>27</v>
      </c>
      <c r="N10" t="s">
        <v>103</v>
      </c>
      <c r="O10">
        <v>9</v>
      </c>
      <c r="P10" t="s">
        <v>104</v>
      </c>
      <c r="Q10" s="11" t="str">
        <f>HYPERLINK("https://www.bigbuy.eu/fr/shop/product/bouteille-pulverisatrice-inoxibar-61126_1185619","https://www.bigbuy.eu/fr/shop/product/bouteille-pulverisatrice-inoxibar-61126_1185619")</f>
        <v>https://www.bigbuy.eu/fr/shop/product/bouteille-pulverisatrice-inoxibar-61126_1185619</v>
      </c>
      <c r="R10" t="s">
        <v>51</v>
      </c>
    </row>
    <row r="11" ht="15" customHeight="1">
      <c r="A11" t="s">
        <v>106</v>
      </c>
      <c r="B11">
        <v>50</v>
      </c>
      <c r="C11" t="s">
        <v>107</v>
      </c>
      <c r="D11" t="s">
        <v>108</v>
      </c>
      <c r="E11" t="s">
        <v>109</v>
      </c>
      <c r="F11" t="s">
        <v>110</v>
      </c>
      <c r="G11" t="s">
        <v>36</v>
      </c>
      <c r="H11" t="s">
        <v>111</v>
      </c>
      <c r="I11">
        <v>70</v>
      </c>
      <c r="J11">
        <v>35</v>
      </c>
      <c r="K11" t="s">
        <v>112</v>
      </c>
      <c r="L11" t="s">
        <v>26</v>
      </c>
      <c r="M11" t="s">
        <v>27</v>
      </c>
      <c r="N11" t="s">
        <v>113</v>
      </c>
      <c r="O11">
        <v>10</v>
      </c>
      <c r="P11" t="s">
        <v>114</v>
      </c>
      <c r="Q11" t="s">
        <v>115</v>
      </c>
      <c r="R11" t="s">
        <v>51</v>
      </c>
    </row>
    <row r="12" ht="15" customHeight="1">
      <c r="A12" t="s">
        <v>116</v>
      </c>
      <c r="B12">
        <v>55</v>
      </c>
      <c r="C12" t="s">
        <v>117</v>
      </c>
      <c r="D12" t="s">
        <v>54</v>
      </c>
      <c r="E12" t="s">
        <v>118</v>
      </c>
      <c r="F12" t="s">
        <v>119</v>
      </c>
      <c r="G12" t="s">
        <v>36</v>
      </c>
      <c r="H12" t="s">
        <v>57</v>
      </c>
      <c r="I12">
        <v>22</v>
      </c>
      <c r="J12">
        <v>10</v>
      </c>
      <c r="K12" t="s">
        <v>120</v>
      </c>
      <c r="L12" t="s">
        <v>26</v>
      </c>
      <c r="M12" t="s">
        <v>27</v>
      </c>
      <c r="N12" t="s">
        <v>121</v>
      </c>
      <c r="O12">
        <v>11</v>
      </c>
      <c r="P12" t="s">
        <v>122</v>
      </c>
      <c r="Q12" t="s">
        <v>123</v>
      </c>
      <c r="R12" t="s">
        <v>124</v>
      </c>
    </row>
    <row r="13" ht="15" customHeight="1">
      <c r="A13" t="s">
        <v>125</v>
      </c>
      <c r="B13">
        <v>55</v>
      </c>
      <c r="C13" t="s">
        <v>126</v>
      </c>
      <c r="D13" t="s">
        <v>127</v>
      </c>
      <c r="E13" t="s">
        <v>128</v>
      </c>
      <c r="F13" t="s">
        <v>129</v>
      </c>
      <c r="G13" t="s">
        <v>23</v>
      </c>
      <c r="H13" t="s">
        <v>130</v>
      </c>
      <c r="I13">
        <v>55</v>
      </c>
      <c r="J13">
        <v>25</v>
      </c>
      <c r="K13" s="4">
        <v>811846</v>
      </c>
      <c r="L13" t="s">
        <v>26</v>
      </c>
      <c r="M13" t="s">
        <v>131</v>
      </c>
      <c r="N13" t="s">
        <v>132</v>
      </c>
      <c r="O13">
        <v>12</v>
      </c>
      <c r="P13" t="s">
        <v>133</v>
      </c>
      <c r="Q13" s="5" t="str">
        <f t="shared" si="1" ref="Q13:Q54">HYPERLINK("https://www.bigbuy.eu/fr/shop/product/sac-a-dos-de-randonnee-deuter-ac-lite-28-l_811846","https://www.bigbuy.eu/fr/shop/product/sac-a-dos-de-randonnee-deuter-ac-lite-28-l_811846")</f>
        <v>https://www.bigbuy.eu/fr/shop/product/sac-a-dos-de-randonnee-deuter-ac-lite-28-l_811846</v>
      </c>
      <c r="R13" t="s">
        <v>135</v>
      </c>
    </row>
    <row r="14" ht="15" customHeight="1">
      <c r="A14" t="s">
        <v>136</v>
      </c>
      <c r="B14">
        <v>57</v>
      </c>
      <c r="C14" t="s">
        <v>137</v>
      </c>
      <c r="D14" t="s">
        <v>127</v>
      </c>
      <c r="E14" t="s">
        <v>138</v>
      </c>
      <c r="F14" t="s">
        <v>129</v>
      </c>
      <c r="G14" t="s">
        <v>36</v>
      </c>
      <c r="H14" t="s">
        <v>139</v>
      </c>
      <c r="I14">
        <v>35</v>
      </c>
      <c r="J14">
        <v>15</v>
      </c>
      <c r="K14">
        <v>1300701</v>
      </c>
      <c r="L14" s="10" t="s">
        <v>26</v>
      </c>
      <c r="M14" t="s">
        <v>131</v>
      </c>
      <c r="N14" t="s">
        <v>140</v>
      </c>
      <c r="O14">
        <v>13</v>
      </c>
      <c r="P14" t="s">
        <v>141</v>
      </c>
      <c r="Q14" s="11" t="str">
        <f t="shared" si="3" ref="Q14:Q67">HYPERLINK("https://www.bigbuy.eu/fr/shop/product/baton-trekking-aktive-5-3-x-135-x-5-3-cm_1300701","https://www.bigbuy.eu/fr/shop/product/baton-trekking-aktive-5-3-x-135-x-5-3-cm_1300701")</f>
        <v>https://www.bigbuy.eu/fr/shop/product/baton-trekking-aktive-5-3-x-135-x-5-3-cm_1300701</v>
      </c>
      <c r="R14" t="s">
        <v>143</v>
      </c>
    </row>
    <row r="15" ht="15" customHeight="1">
      <c r="A15" t="s">
        <v>144</v>
      </c>
      <c r="B15">
        <v>54</v>
      </c>
      <c r="C15" t="s">
        <v>145</v>
      </c>
      <c r="D15" t="s">
        <v>108</v>
      </c>
      <c r="E15" t="s">
        <v>146</v>
      </c>
      <c r="F15" t="s">
        <v>129</v>
      </c>
      <c r="G15" t="s">
        <v>23</v>
      </c>
      <c r="H15" t="s">
        <v>147</v>
      </c>
      <c r="I15">
        <v>65</v>
      </c>
      <c r="J15">
        <v>30</v>
      </c>
      <c r="K15" s="4">
        <v>1091707</v>
      </c>
      <c r="L15" s="4" t="s">
        <v>26</v>
      </c>
      <c r="M15" t="s">
        <v>131</v>
      </c>
      <c r="N15" t="s">
        <v>148</v>
      </c>
      <c r="O15">
        <v>14</v>
      </c>
      <c r="P15" t="s">
        <v>149</v>
      </c>
      <c r="Q15" s="5" t="str">
        <f t="shared" si="2" ref="Q15:Q56">HYPERLINK("https://www.bigbuy.eu/fr/shop/product/magasin-de-campagne-bestway-multicouleur-210-x-138-x-240-cm_1091707","https://www.bigbuy.eu/fr/shop/product/magasin-de-campagne-bestway-multicouleur-210-x-138-x-240-cm_1091707")</f>
        <v>https://www.bigbuy.eu/fr/shop/product/magasin-de-campagne-bestway-multicouleur-210-x-138-x-240-cm_1091707</v>
      </c>
      <c r="R15" t="s">
        <v>151</v>
      </c>
    </row>
    <row r="16" ht="15" customHeight="1">
      <c r="A16" t="s">
        <v>152</v>
      </c>
      <c r="B16">
        <v>56</v>
      </c>
      <c r="C16" t="s">
        <v>153</v>
      </c>
      <c r="D16" t="s">
        <v>108</v>
      </c>
      <c r="E16" t="s">
        <v>154</v>
      </c>
      <c r="F16" t="s">
        <v>129</v>
      </c>
      <c r="G16" t="s">
        <v>23</v>
      </c>
      <c r="H16" t="s">
        <v>57</v>
      </c>
      <c r="I16">
        <v>45</v>
      </c>
      <c r="J16">
        <v>20</v>
      </c>
      <c r="K16">
        <v>1035706</v>
      </c>
      <c r="L16" s="10" t="s">
        <v>26</v>
      </c>
      <c r="M16" t="s">
        <v>131</v>
      </c>
      <c r="N16" t="s">
        <v>148</v>
      </c>
      <c r="O16">
        <v>15</v>
      </c>
      <c r="P16" t="s">
        <v>155</v>
      </c>
      <c r="Q16" s="11" t="str">
        <f>HYPERLINK("https://www.bigbuy.eu/fr/shop/product/sac-de-couchage-pour-bebe-domiva-au-fil-de-l-eau_1035706","https://www.bigbuy.eu/fr/shop/product/sac-de-couchage-pour-bebe-domiva-au-fil-de-l-eau_1035706")</f>
        <v>https://www.bigbuy.eu/fr/shop/product/sac-de-couchage-pour-bebe-domiva-au-fil-de-l-eau_1035706</v>
      </c>
      <c r="R16" t="s">
        <v>157</v>
      </c>
    </row>
    <row r="17" ht="15" customHeight="1">
      <c r="A17" t="s">
        <v>158</v>
      </c>
      <c r="B17">
        <v>53</v>
      </c>
      <c r="C17" t="s">
        <v>159</v>
      </c>
      <c r="D17" t="s">
        <v>108</v>
      </c>
      <c r="E17" t="s">
        <v>160</v>
      </c>
      <c r="F17" t="s">
        <v>129</v>
      </c>
      <c r="G17" t="s">
        <v>36</v>
      </c>
      <c r="H17" t="s">
        <v>161</v>
      </c>
      <c r="I17">
        <v>38</v>
      </c>
      <c r="J17">
        <v>18</v>
      </c>
      <c r="K17" s="4">
        <v>878949</v>
      </c>
      <c r="L17" s="4" t="s">
        <v>26</v>
      </c>
      <c r="M17" t="s">
        <v>131</v>
      </c>
      <c r="N17" t="s">
        <v>162</v>
      </c>
      <c r="O17">
        <v>16</v>
      </c>
      <c r="P17" t="s">
        <v>163</v>
      </c>
      <c r="Q17" s="5" t="str">
        <f>HYPERLINK("https://www.bigbuy.eu/fr/shop/product/matelas-gonflable-bestway-floral-183-x-69-cm_878949","https://www.bigbuy.eu/fr/shop/product/matelas-gonflable-bestway-floral-183-x-69-cm_878949")</f>
        <v>https://www.bigbuy.eu/fr/shop/product/matelas-gonflable-bestway-floral-183-x-69-cm_878949</v>
      </c>
      <c r="R17" t="s">
        <v>165</v>
      </c>
    </row>
    <row r="18" ht="15" customHeight="1">
      <c r="A18" t="s">
        <v>166</v>
      </c>
      <c r="B18">
        <v>57</v>
      </c>
      <c r="C18" t="s">
        <v>167</v>
      </c>
      <c r="D18" t="s">
        <v>99</v>
      </c>
      <c r="E18" t="s">
        <v>168</v>
      </c>
      <c r="F18" t="s">
        <v>129</v>
      </c>
      <c r="G18" t="s">
        <v>23</v>
      </c>
      <c r="H18" t="s">
        <v>169</v>
      </c>
      <c r="I18">
        <v>14</v>
      </c>
      <c r="J18">
        <v>6</v>
      </c>
      <c r="K18">
        <v>1277709</v>
      </c>
      <c r="L18" s="10" t="s">
        <v>26</v>
      </c>
      <c r="M18" t="s">
        <v>131</v>
      </c>
      <c r="N18" t="s">
        <v>170</v>
      </c>
      <c r="O18">
        <v>17</v>
      </c>
      <c r="P18" t="s">
        <v>171</v>
      </c>
      <c r="Q18" s="11" t="str">
        <f>HYPERLINK("https://www.bigbuy.eu/fr/shop/product/bouteille-d-eau-picture-acc121-a-blanc-naturel-acier_1277709","https://www.bigbuy.eu/fr/shop/product/bouteille-d-eau-picture-acc121-a-blanc-naturel-acier_1277709")</f>
        <v>https://www.bigbuy.eu/fr/shop/product/bouteille-d-eau-picture-acc121-a-blanc-naturel-acier_1277709</v>
      </c>
      <c r="R18" t="s">
        <v>173</v>
      </c>
    </row>
    <row r="19" ht="15" customHeight="1">
      <c r="A19" t="s">
        <v>174</v>
      </c>
      <c r="B19">
        <v>56</v>
      </c>
      <c r="C19" t="s">
        <v>175</v>
      </c>
      <c r="D19" t="s">
        <v>127</v>
      </c>
      <c r="E19" t="s">
        <v>176</v>
      </c>
      <c r="F19" t="s">
        <v>129</v>
      </c>
      <c r="G19" t="s">
        <v>23</v>
      </c>
      <c r="H19" t="s">
        <v>57</v>
      </c>
      <c r="I19">
        <v>18</v>
      </c>
      <c r="J19">
        <v>8</v>
      </c>
      <c r="K19">
        <v>1228356</v>
      </c>
      <c r="L19" s="10" t="s">
        <v>26</v>
      </c>
      <c r="M19" t="s">
        <v>131</v>
      </c>
      <c r="N19" t="s">
        <v>177</v>
      </c>
      <c r="O19">
        <v>18</v>
      </c>
      <c r="P19" t="s">
        <v>178</v>
      </c>
      <c r="Q19" s="12" t="str">
        <f t="shared" si="8" ref="Q19:Q80">HYPERLINK("https://www.bigbuy.eu/fr/shop/product/couteau-opinel-no8-acier-inoxydable-8-cm_1228356","https://www.bigbuy.eu/fr/shop/product/couteau-opinel-no8-acier-inoxydable-8-cm_1228356")</f>
        <v>https://www.bigbuy.eu/fr/shop/product/couteau-opinel-no8-acier-inoxydable-8-cm_1228356</v>
      </c>
      <c r="R19" t="s">
        <v>180</v>
      </c>
    </row>
    <row r="20" ht="15" customHeight="1">
      <c r="A20" t="s">
        <v>181</v>
      </c>
      <c r="B20">
        <v>67</v>
      </c>
      <c r="C20" t="s">
        <v>182</v>
      </c>
      <c r="D20" t="s">
        <v>54</v>
      </c>
      <c r="E20" t="s">
        <v>183</v>
      </c>
      <c r="F20" t="s">
        <v>129</v>
      </c>
      <c r="G20" t="s">
        <v>23</v>
      </c>
      <c r="H20" t="s">
        <v>184</v>
      </c>
      <c r="I20">
        <v>6</v>
      </c>
      <c r="J20">
        <v>2</v>
      </c>
      <c r="K20">
        <v>807382</v>
      </c>
      <c r="L20" s="10" t="s">
        <v>26</v>
      </c>
      <c r="M20" t="s">
        <v>131</v>
      </c>
      <c r="N20" t="s">
        <v>185</v>
      </c>
      <c r="O20">
        <v>19</v>
      </c>
      <c r="P20" t="s">
        <v>186</v>
      </c>
      <c r="Q20" s="11" t="str">
        <f>HYPERLINK("https://www.bigbuy.eu/fr/shop/product/trousse-de-premiers-secours-michelin-9531-44-pieces_807382","https://www.bigbuy.eu/fr/shop/product/trousse-de-premiers-secours-michelin-9531-44-pieces_807382")</f>
        <v>https://www.bigbuy.eu/fr/shop/product/trousse-de-premiers-secours-michelin-9531-44-pieces_807382</v>
      </c>
      <c r="R20" t="s">
        <v>187</v>
      </c>
    </row>
    <row r="21" ht="15" customHeight="1">
      <c r="A21" t="s">
        <v>188</v>
      </c>
      <c r="B21">
        <v>63</v>
      </c>
      <c r="C21" t="s">
        <v>189</v>
      </c>
      <c r="D21" t="s">
        <v>190</v>
      </c>
      <c r="E21" t="s">
        <v>191</v>
      </c>
      <c r="F21" t="s">
        <v>129</v>
      </c>
      <c r="G21" t="s">
        <v>36</v>
      </c>
      <c r="H21" t="s">
        <v>192</v>
      </c>
      <c r="I21">
        <v>8</v>
      </c>
      <c r="J21">
        <v>3</v>
      </c>
      <c r="K21" s="4">
        <v>412861</v>
      </c>
      <c r="L21" t="s">
        <v>26</v>
      </c>
      <c r="M21" t="s">
        <v>131</v>
      </c>
      <c r="N21" t="s">
        <v>193</v>
      </c>
      <c r="O21">
        <v>20</v>
      </c>
      <c r="P21" t="s">
        <v>194</v>
      </c>
      <c r="Q21" s="5" t="str">
        <f>HYPERLINK("https://www.bigbuy.eu/fr/shop/product/chauffe-pieds-edm-07487-07487-marron-180-x-130-cm_412861","https://www.bigbuy.eu/fr/shop/product/chauffe-pieds-edm-07487-07487-marron-180-x-130-cm_412861")</f>
        <v>https://www.bigbuy.eu/fr/shop/product/chauffe-pieds-edm-07487-07487-marron-180-x-130-cm_412861</v>
      </c>
      <c r="R21" t="s">
        <v>196</v>
      </c>
    </row>
    <row r="22" ht="15" customHeight="1">
      <c r="A22" t="s">
        <v>197</v>
      </c>
      <c r="B22">
        <v>57</v>
      </c>
      <c r="C22" t="s">
        <v>198</v>
      </c>
      <c r="D22" t="s">
        <v>190</v>
      </c>
      <c r="E22" t="s">
        <v>199</v>
      </c>
      <c r="F22" t="s">
        <v>129</v>
      </c>
      <c r="G22" t="s">
        <v>36</v>
      </c>
      <c r="H22" t="s">
        <v>200</v>
      </c>
      <c r="I22">
        <v>28</v>
      </c>
      <c r="J22">
        <v>12</v>
      </c>
      <c r="K22">
        <v>1213510</v>
      </c>
      <c r="L22" s="10" t="s">
        <v>26</v>
      </c>
      <c r="M22" t="s">
        <v>131</v>
      </c>
      <c r="N22" t="s">
        <v>201</v>
      </c>
      <c r="O22">
        <v>21</v>
      </c>
      <c r="P22" t="s">
        <v>202</v>
      </c>
      <c r="Q22" s="11" t="str">
        <f>HYPERLINK("https://www.bigbuy.eu/fr/shop/product/baton-trekking-black-diamond-bd110045-noir_1213510","https://www.bigbuy.eu/fr/shop/product/baton-trekking-black-diamond-bd110045-noir_1213510")</f>
        <v>https://www.bigbuy.eu/fr/shop/product/baton-trekking-black-diamond-bd110045-noir_1213510</v>
      </c>
      <c r="R22" t="s">
        <v>204</v>
      </c>
    </row>
    <row r="23" ht="15" customHeight="1">
      <c r="A23" t="s">
        <v>205</v>
      </c>
      <c r="B23">
        <v>55</v>
      </c>
      <c r="C23" t="s">
        <v>206</v>
      </c>
      <c r="D23" t="s">
        <v>207</v>
      </c>
      <c r="E23" t="s">
        <v>208</v>
      </c>
      <c r="F23" t="s">
        <v>129</v>
      </c>
      <c r="G23" t="s">
        <v>36</v>
      </c>
      <c r="H23" t="s">
        <v>57</v>
      </c>
      <c r="I23">
        <v>40</v>
      </c>
      <c r="J23">
        <v>18</v>
      </c>
      <c r="K23">
        <v>1213514</v>
      </c>
      <c r="L23" s="10" t="s">
        <v>26</v>
      </c>
      <c r="M23" t="s">
        <v>131</v>
      </c>
      <c r="N23" t="s">
        <v>209</v>
      </c>
      <c r="O23">
        <v>22</v>
      </c>
      <c r="P23" t="s">
        <v>210</v>
      </c>
      <c r="Q23" s="12" t="str">
        <f>HYPERLINK("https://www.bigbuy.eu/fr/shop/product/baton-trekking-leki-65221191_1213514","https://www.bigbuy.eu/fr/shop/product/baton-trekking-leki-65221191_1213514")</f>
        <v>https://www.bigbuy.eu/fr/shop/product/baton-trekking-leki-65221191_1213514</v>
      </c>
      <c r="R23" t="s">
        <v>212</v>
      </c>
    </row>
    <row r="24" ht="15" customHeight="1">
      <c r="A24" t="s">
        <v>213</v>
      </c>
      <c r="B24">
        <v>53</v>
      </c>
      <c r="C24" t="s">
        <v>214</v>
      </c>
      <c r="D24" t="s">
        <v>207</v>
      </c>
      <c r="E24" t="s">
        <v>215</v>
      </c>
      <c r="F24" t="s">
        <v>129</v>
      </c>
      <c r="G24" t="s">
        <v>23</v>
      </c>
      <c r="H24" t="s">
        <v>57</v>
      </c>
      <c r="I24">
        <v>75</v>
      </c>
      <c r="J24">
        <v>35</v>
      </c>
      <c r="K24" s="6">
        <v>924718</v>
      </c>
      <c r="L24" t="s">
        <v>26</v>
      </c>
      <c r="M24" t="s">
        <v>131</v>
      </c>
      <c r="N24" t="s">
        <v>216</v>
      </c>
      <c r="O24">
        <v>23</v>
      </c>
      <c r="P24" t="s">
        <v>217</v>
      </c>
      <c r="Q24" s="7" t="str">
        <f>HYPERLINK("https://www.bigbuy.eu/fr/shop/product/navigateur-gps-garmin-gt20-gm_924718","https://www.bigbuy.eu/fr/shop/product/navigateur-gps-garmin-gt20-gm_924718")</f>
        <v>https://www.bigbuy.eu/fr/shop/product/navigateur-gps-garmin-gt20-gm_924718</v>
      </c>
      <c r="R24" t="s">
        <v>219</v>
      </c>
    </row>
    <row r="25" ht="15" customHeight="1">
      <c r="A25" t="s">
        <v>220</v>
      </c>
      <c r="B25">
        <v>57</v>
      </c>
      <c r="C25" t="s">
        <v>221</v>
      </c>
      <c r="D25" t="s">
        <v>222</v>
      </c>
      <c r="E25" t="s">
        <v>223</v>
      </c>
      <c r="F25" t="s">
        <v>129</v>
      </c>
      <c r="G25" t="s">
        <v>23</v>
      </c>
      <c r="H25" t="s">
        <v>57</v>
      </c>
      <c r="I25">
        <v>35</v>
      </c>
      <c r="J25">
        <v>15</v>
      </c>
      <c r="K25" s="4">
        <v>1177083</v>
      </c>
      <c r="L25" s="8" t="s">
        <v>26</v>
      </c>
      <c r="M25" t="s">
        <v>131</v>
      </c>
      <c r="N25" t="s">
        <v>224</v>
      </c>
      <c r="O25">
        <v>24</v>
      </c>
      <c r="P25" t="s">
        <v>225</v>
      </c>
      <c r="Q25" s="9" t="str">
        <f>HYPERLINK("https://www.bigbuy.eu/en/shop/product/powerbank-energizer-eqm010002pq-bk-ml-black-10000-mah_1177083","https://www.bigbuy.eu/en/shop/product/powerbank-energizer-eqm010002pq-bk-ml-black-10000-mah_1177083")</f>
        <v>https://www.bigbuy.eu/en/shop/product/powerbank-energizer-eqm010002pq-bk-ml-black-10000-mah_1177083</v>
      </c>
      <c r="R25" t="s">
        <v>173</v>
      </c>
    </row>
    <row r="26" ht="15" customHeight="1">
      <c r="A26" t="s">
        <v>227</v>
      </c>
      <c r="B26">
        <v>56</v>
      </c>
      <c r="C26" t="s">
        <v>228</v>
      </c>
      <c r="D26" t="s">
        <v>222</v>
      </c>
      <c r="E26" t="s">
        <v>229</v>
      </c>
      <c r="F26" t="s">
        <v>129</v>
      </c>
      <c r="G26" t="s">
        <v>36</v>
      </c>
      <c r="H26" t="s">
        <v>230</v>
      </c>
      <c r="I26">
        <v>45</v>
      </c>
      <c r="J26">
        <v>20</v>
      </c>
      <c r="K26">
        <v>428470</v>
      </c>
      <c r="L26" s="10" t="s">
        <v>26</v>
      </c>
      <c r="M26" t="s">
        <v>131</v>
      </c>
      <c r="N26" t="s">
        <v>231</v>
      </c>
      <c r="O26">
        <v>25</v>
      </c>
      <c r="P26" t="s">
        <v>232</v>
      </c>
      <c r="Q26" s="11" t="str">
        <f>HYPERLINK("https://www.bigbuy.eu/fr/shop/product/lampe-solaire-galix-30-lm-acier-inoxydable_428470","https://www.bigbuy.eu/fr/shop/product/lampe-solaire-galix-30-lm-acier-inoxydable_428470")</f>
        <v>https://www.bigbuy.eu/fr/shop/product/lampe-solaire-galix-30-lm-acier-inoxydable_428470</v>
      </c>
      <c r="R26" t="s">
        <v>212</v>
      </c>
    </row>
    <row r="27" ht="15" customHeight="1">
      <c r="A27" t="s">
        <v>234</v>
      </c>
      <c r="B27">
        <v>60</v>
      </c>
      <c r="C27" t="s">
        <v>235</v>
      </c>
      <c r="D27" t="s">
        <v>71</v>
      </c>
      <c r="E27" t="s">
        <v>236</v>
      </c>
      <c r="F27" t="s">
        <v>129</v>
      </c>
      <c r="G27" t="s">
        <v>23</v>
      </c>
      <c r="H27" t="s">
        <v>237</v>
      </c>
      <c r="I27">
        <v>10</v>
      </c>
      <c r="J27">
        <v>4</v>
      </c>
      <c r="K27" s="4">
        <v>144842</v>
      </c>
      <c r="L27" t="s">
        <v>26</v>
      </c>
      <c r="M27" t="s">
        <v>131</v>
      </c>
      <c r="N27" t="s">
        <v>238</v>
      </c>
      <c r="O27">
        <v>26</v>
      </c>
      <c r="P27" t="s">
        <v>239</v>
      </c>
      <c r="Q27" s="5" t="str">
        <f>HYPERLINK("https://www.bigbuy.eu/fr/shop/product/bracelet-anti-moustiques-a-ultrasons-rechargeable-banic-innovagoods_144842","https://www.bigbuy.eu/fr/shop/product/bracelet-anti-moustiques-a-ultrasons-rechargeable-banic-innovagoods_144842")</f>
        <v>https://www.bigbuy.eu/fr/shop/product/bracelet-anti-moustiques-a-ultrasons-rechargeable-banic-innovagoods_144842</v>
      </c>
      <c r="R27" t="s">
        <v>180</v>
      </c>
    </row>
    <row r="28" ht="15" customHeight="1">
      <c r="A28" t="s">
        <v>241</v>
      </c>
      <c r="B28">
        <v>55</v>
      </c>
      <c r="C28" t="s">
        <v>242</v>
      </c>
      <c r="D28" t="s">
        <v>243</v>
      </c>
      <c r="E28" t="s">
        <v>244</v>
      </c>
      <c r="F28" t="s">
        <v>129</v>
      </c>
      <c r="G28" t="s">
        <v>23</v>
      </c>
      <c r="H28" t="s">
        <v>245</v>
      </c>
      <c r="I28">
        <v>40</v>
      </c>
      <c r="J28">
        <v>18</v>
      </c>
      <c r="K28" s="6">
        <v>1268867</v>
      </c>
      <c r="L28" s="6" t="s">
        <v>26</v>
      </c>
      <c r="M28" t="s">
        <v>131</v>
      </c>
      <c r="N28" t="s">
        <v>246</v>
      </c>
      <c r="O28">
        <v>27</v>
      </c>
      <c r="P28" t="s">
        <v>247</v>
      </c>
      <c r="Q28" s="7" t="str">
        <f>HYPERLINK("https://www.bigbuy.eu/fr/shop/product/rechaud-a-gaz-open-norte-bs102-comgas_1268867","https://www.bigbuy.eu/fr/shop/product/rechaud-a-gaz-open-norte-bs102-comgas_1268867")</f>
        <v>https://www.bigbuy.eu/fr/shop/product/rechaud-a-gaz-open-norte-bs102-comgas_1268867</v>
      </c>
      <c r="R28" t="s">
        <v>212</v>
      </c>
    </row>
    <row r="29" ht="15" customHeight="1">
      <c r="A29" t="s">
        <v>249</v>
      </c>
      <c r="B29">
        <v>63</v>
      </c>
      <c r="C29" t="s">
        <v>250</v>
      </c>
      <c r="D29" t="s">
        <v>243</v>
      </c>
      <c r="E29" t="s">
        <v>251</v>
      </c>
      <c r="F29" t="s">
        <v>129</v>
      </c>
      <c r="G29" t="s">
        <v>23</v>
      </c>
      <c r="H29" t="s">
        <v>192</v>
      </c>
      <c r="I29">
        <v>8</v>
      </c>
      <c r="J29">
        <v>3</v>
      </c>
      <c r="K29">
        <v>1213513</v>
      </c>
      <c r="L29" s="10" t="s">
        <v>26</v>
      </c>
      <c r="M29" t="s">
        <v>131</v>
      </c>
      <c r="N29" t="s">
        <v>252</v>
      </c>
      <c r="O29">
        <v>28</v>
      </c>
      <c r="P29" t="s">
        <v>253</v>
      </c>
      <c r="Q29" s="12" t="str">
        <f>HYPERLINK("https://www.bigbuy.eu/fr/shop/product/baton-trekking-black-diamond-bd110065-pourpre_1213513","https://www.bigbuy.eu/fr/shop/product/baton-trekking-black-diamond-bd110065-pourpre_1213513")</f>
        <v>https://www.bigbuy.eu/fr/shop/product/baton-trekking-black-diamond-bd110065-pourpre_1213513</v>
      </c>
      <c r="R29" t="s">
        <v>255</v>
      </c>
    </row>
    <row r="30" ht="15" customHeight="1">
      <c r="A30" t="s">
        <v>256</v>
      </c>
      <c r="B30">
        <v>55</v>
      </c>
      <c r="C30" t="s">
        <v>257</v>
      </c>
      <c r="D30" t="s">
        <v>243</v>
      </c>
      <c r="E30" t="s">
        <v>258</v>
      </c>
      <c r="F30" t="s">
        <v>129</v>
      </c>
      <c r="G30" t="s">
        <v>36</v>
      </c>
      <c r="H30" t="s">
        <v>259</v>
      </c>
      <c r="I30">
        <v>22</v>
      </c>
      <c r="J30">
        <v>10</v>
      </c>
      <c r="K30" s="6">
        <v>724369</v>
      </c>
      <c r="L30" t="s">
        <v>26</v>
      </c>
      <c r="M30" t="s">
        <v>131</v>
      </c>
      <c r="N30" t="s">
        <v>260</v>
      </c>
      <c r="O30">
        <v>29</v>
      </c>
      <c r="P30" t="s">
        <v>261</v>
      </c>
      <c r="Q30" s="7" t="str">
        <f t="shared" si="4" ref="Q30:Q69">HYPERLINK("https://www.bigbuy.eu/fr/shop/product/service-de-vaisselle-dem-20-pieces-multicouleur-pique-nique-12-unites_724369","https://www.bigbuy.eu/fr/shop/product/service-de-vaisselle-dem-20-pieces-multicouleur-pique-nique-12-unites_724369")</f>
        <v>https://www.bigbuy.eu/fr/shop/product/service-de-vaisselle-dem-20-pieces-multicouleur-pique-nique-12-unites_724369</v>
      </c>
      <c r="R30" t="s">
        <v>212</v>
      </c>
    </row>
    <row r="31" ht="15" customHeight="1">
      <c r="A31" t="s">
        <v>263</v>
      </c>
      <c r="B31">
        <v>58</v>
      </c>
      <c r="C31" t="s">
        <v>264</v>
      </c>
      <c r="D31" t="s">
        <v>108</v>
      </c>
      <c r="E31" t="s">
        <v>265</v>
      </c>
      <c r="F31" t="s">
        <v>129</v>
      </c>
      <c r="G31" t="s">
        <v>23</v>
      </c>
      <c r="H31" t="s">
        <v>57</v>
      </c>
      <c r="I31">
        <v>12</v>
      </c>
      <c r="J31">
        <v>5</v>
      </c>
      <c r="K31">
        <v>1277711</v>
      </c>
      <c r="L31" s="10" t="s">
        <v>26</v>
      </c>
      <c r="M31" t="s">
        <v>131</v>
      </c>
      <c r="N31" t="s">
        <v>266</v>
      </c>
      <c r="O31">
        <v>30</v>
      </c>
      <c r="P31" t="s">
        <v>267</v>
      </c>
      <c r="Q31" s="12" t="str">
        <f t="shared" si="0" ref="Q31:Q74">HYPERLINK("https://www.bigbuy.eu/fr/shop/product/sac-a-bandouliere-reebok-tech-style-city_1277711","https://www.bigbuy.eu/fr/shop/product/sac-a-bandouliere-reebok-tech-style-city_1277711")</f>
        <v>https://www.bigbuy.eu/fr/shop/product/sac-a-bandouliere-reebok-tech-style-city_1277711</v>
      </c>
      <c r="R31" t="s">
        <v>180</v>
      </c>
    </row>
    <row r="32" ht="15" customHeight="1">
      <c r="A32" t="s">
        <v>269</v>
      </c>
      <c r="B32">
        <v>58</v>
      </c>
      <c r="C32" t="s">
        <v>270</v>
      </c>
      <c r="D32" t="s">
        <v>271</v>
      </c>
      <c r="E32" t="s">
        <v>272</v>
      </c>
      <c r="F32" t="s">
        <v>129</v>
      </c>
      <c r="G32" t="s">
        <v>23</v>
      </c>
      <c r="H32" t="s">
        <v>273</v>
      </c>
      <c r="I32">
        <v>12</v>
      </c>
      <c r="J32">
        <v>5</v>
      </c>
      <c r="K32" t="s">
        <v>274</v>
      </c>
      <c r="L32" s="10" t="s">
        <v>275</v>
      </c>
      <c r="M32" t="s">
        <v>131</v>
      </c>
      <c r="N32" t="s">
        <v>276</v>
      </c>
      <c r="O32">
        <v>31</v>
      </c>
      <c r="P32" t="s">
        <v>277</v>
      </c>
      <c r="Q32" t="s">
        <v>278</v>
      </c>
      <c r="R32" t="s">
        <v>219</v>
      </c>
    </row>
    <row r="33" ht="15" customHeight="1">
      <c r="A33" t="s">
        <v>279</v>
      </c>
      <c r="B33">
        <v>56</v>
      </c>
      <c r="C33" t="s">
        <v>280</v>
      </c>
      <c r="D33" t="s">
        <v>271</v>
      </c>
      <c r="E33" t="s">
        <v>281</v>
      </c>
      <c r="F33" t="s">
        <v>129</v>
      </c>
      <c r="G33" t="s">
        <v>36</v>
      </c>
      <c r="H33" t="s">
        <v>282</v>
      </c>
      <c r="I33">
        <v>18</v>
      </c>
      <c r="J33">
        <v>8</v>
      </c>
      <c r="K33" s="4">
        <v>833755</v>
      </c>
      <c r="L33" t="s">
        <v>26</v>
      </c>
      <c r="M33" t="s">
        <v>131</v>
      </c>
      <c r="N33" t="s">
        <v>193</v>
      </c>
      <c r="O33">
        <v>32</v>
      </c>
      <c r="P33" t="s">
        <v>283</v>
      </c>
      <c r="Q33" s="5" t="str">
        <f>HYPERLINK("https://www.bigbuy.eu/fr/shop/product/gant-omp-tazio-marron-s-vintage-1-unites_833755","https://www.bigbuy.eu/fr/shop/product/gant-omp-tazio-marron-s-vintage-1-unites_833755")</f>
        <v>https://www.bigbuy.eu/fr/shop/product/gant-omp-tazio-marron-s-vintage-1-unites_833755</v>
      </c>
      <c r="R33" t="s">
        <v>180</v>
      </c>
    </row>
    <row r="34" ht="15" customHeight="1">
      <c r="A34" t="s">
        <v>285</v>
      </c>
      <c r="B34">
        <v>58</v>
      </c>
      <c r="C34" t="s">
        <v>286</v>
      </c>
      <c r="D34" t="s">
        <v>90</v>
      </c>
      <c r="E34" t="s">
        <v>287</v>
      </c>
      <c r="F34" t="s">
        <v>129</v>
      </c>
      <c r="G34" t="s">
        <v>36</v>
      </c>
      <c r="H34" t="s">
        <v>200</v>
      </c>
      <c r="I34">
        <v>12</v>
      </c>
      <c r="J34">
        <v>5</v>
      </c>
      <c r="K34" s="6">
        <v>1222683</v>
      </c>
      <c r="L34" s="6" t="s">
        <v>26</v>
      </c>
      <c r="M34" t="s">
        <v>131</v>
      </c>
      <c r="N34" t="s">
        <v>288</v>
      </c>
      <c r="O34">
        <v>33</v>
      </c>
      <c r="P34" t="s">
        <v>289</v>
      </c>
      <c r="Q34" s="7" t="str">
        <f>HYPERLINK("https://www.bigbuy.eu/fr/shop/product/etui-port-designs-180113_1222683","https://www.bigbuy.eu/fr/shop/product/etui-port-designs-180113_1222683")</f>
        <v>https://www.bigbuy.eu/fr/shop/product/etui-port-designs-180113_1222683</v>
      </c>
      <c r="R34" t="s">
        <v>180</v>
      </c>
    </row>
    <row r="35" ht="15" customHeight="1">
      <c r="A35" t="s">
        <v>291</v>
      </c>
      <c r="B35">
        <v>57</v>
      </c>
      <c r="C35" t="s">
        <v>292</v>
      </c>
      <c r="D35" t="s">
        <v>108</v>
      </c>
      <c r="E35" t="s">
        <v>293</v>
      </c>
      <c r="F35" t="s">
        <v>129</v>
      </c>
      <c r="G35" t="s">
        <v>36</v>
      </c>
      <c r="H35" t="s">
        <v>57</v>
      </c>
      <c r="I35">
        <v>14</v>
      </c>
      <c r="J35">
        <v>6</v>
      </c>
      <c r="K35">
        <v>1109057</v>
      </c>
      <c r="L35" s="10" t="s">
        <v>26</v>
      </c>
      <c r="M35" t="s">
        <v>131</v>
      </c>
      <c r="N35" t="s">
        <v>294</v>
      </c>
      <c r="O35">
        <v>34</v>
      </c>
      <c r="P35" t="s">
        <v>295</v>
      </c>
      <c r="Q35" s="12" t="str">
        <f>HYPERLINK("https://www.bigbuy.eu/fr/shop/product/baton-trekking-viking-650-21-4563-08-105-noir-gris_1109057","https://www.bigbuy.eu/fr/shop/product/baton-trekking-viking-650-21-4563-08-105-noir-gris_1109057")</f>
        <v>https://www.bigbuy.eu/fr/shop/product/baton-trekking-viking-650-21-4563-08-105-noir-gris_1109057</v>
      </c>
      <c r="R35" t="s">
        <v>173</v>
      </c>
    </row>
    <row r="36" ht="15" customHeight="1">
      <c r="A36" t="s">
        <v>297</v>
      </c>
      <c r="B36">
        <v>53</v>
      </c>
      <c r="C36" t="s">
        <v>298</v>
      </c>
      <c r="D36" t="s">
        <v>299</v>
      </c>
      <c r="E36" t="s">
        <v>300</v>
      </c>
      <c r="F36" t="s">
        <v>129</v>
      </c>
      <c r="G36" t="s">
        <v>36</v>
      </c>
      <c r="H36" t="s">
        <v>301</v>
      </c>
      <c r="I36">
        <v>75</v>
      </c>
      <c r="J36">
        <v>35</v>
      </c>
      <c r="K36" s="6">
        <v>1035428</v>
      </c>
      <c r="L36" t="s">
        <v>26</v>
      </c>
      <c r="M36" t="s">
        <v>131</v>
      </c>
      <c r="N36" t="s">
        <v>302</v>
      </c>
      <c r="O36">
        <v>35</v>
      </c>
      <c r="P36" t="s">
        <v>303</v>
      </c>
      <c r="Q36" s="7" t="str">
        <f>HYPERLINK("https://www.bigbuy.eu/fr/shop/product/porte-bebe-infantino-hug-cuddle-0-mois_1035428","https://www.bigbuy.eu/fr/shop/product/porte-bebe-infantino-hug-cuddle-0-mois_1035428")</f>
        <v>https://www.bigbuy.eu/fr/shop/product/porte-bebe-infantino-hug-cuddle-0-mois_1035428</v>
      </c>
      <c r="R36" t="s">
        <v>305</v>
      </c>
    </row>
    <row r="37" ht="15" customHeight="1">
      <c r="A37" t="s">
        <v>306</v>
      </c>
      <c r="B37">
        <v>57</v>
      </c>
      <c r="C37" t="s">
        <v>307</v>
      </c>
      <c r="D37" t="s">
        <v>308</v>
      </c>
      <c r="E37" t="s">
        <v>309</v>
      </c>
      <c r="F37" t="s">
        <v>129</v>
      </c>
      <c r="G37" t="s">
        <v>310</v>
      </c>
      <c r="H37" t="s">
        <v>311</v>
      </c>
      <c r="I37">
        <v>28</v>
      </c>
      <c r="J37">
        <v>12</v>
      </c>
      <c r="K37" s="4">
        <v>979557</v>
      </c>
      <c r="L37" s="4" t="s">
        <v>26</v>
      </c>
      <c r="M37" t="s">
        <v>131</v>
      </c>
      <c r="N37" t="s">
        <v>312</v>
      </c>
      <c r="O37">
        <v>36</v>
      </c>
      <c r="P37" t="s">
        <v>313</v>
      </c>
      <c r="Q37" s="5" t="str">
        <f>HYPERLINK("https://www.bigbuy.eu/en/shop/product/foldable-camping-chair-aktive-2-units_979557","https://www.bigbuy.eu/en/shop/product/foldable-camping-chair-aktive-2-units_979557")</f>
        <v>https://www.bigbuy.eu/en/shop/product/foldable-camping-chair-aktive-2-units_979557</v>
      </c>
      <c r="R37" t="s">
        <v>135</v>
      </c>
    </row>
    <row r="38" ht="15" customHeight="1">
      <c r="A38" t="s">
        <v>315</v>
      </c>
      <c r="B38">
        <v>56</v>
      </c>
      <c r="C38" t="s">
        <v>316</v>
      </c>
      <c r="D38" t="s">
        <v>317</v>
      </c>
      <c r="E38" t="s">
        <v>318</v>
      </c>
      <c r="F38" t="s">
        <v>129</v>
      </c>
      <c r="G38" t="s">
        <v>36</v>
      </c>
      <c r="H38" t="s">
        <v>319</v>
      </c>
      <c r="I38">
        <v>45</v>
      </c>
      <c r="J38">
        <v>20</v>
      </c>
      <c r="K38">
        <v>1140735</v>
      </c>
      <c r="L38" s="10" t="s">
        <v>26</v>
      </c>
      <c r="M38" t="s">
        <v>131</v>
      </c>
      <c r="N38" t="s">
        <v>320</v>
      </c>
      <c r="O38">
        <v>37</v>
      </c>
      <c r="P38" t="s">
        <v>321</v>
      </c>
      <c r="Q38" s="11" t="str">
        <f>HYPERLINK("https://www.bigbuy.eu/fr/shop/product/valise-cabine-american-tourister-155260-1598-bleu_1140735","https://www.bigbuy.eu/fr/shop/product/valise-cabine-american-tourister-155260-1598-bleu_1140735")</f>
        <v>https://www.bigbuy.eu/fr/shop/product/valise-cabine-american-tourister-155260-1598-bleu_1140735</v>
      </c>
      <c r="R38" t="s">
        <v>165</v>
      </c>
    </row>
    <row r="39" ht="15" customHeight="1">
      <c r="A39" t="s">
        <v>323</v>
      </c>
      <c r="B39">
        <v>58</v>
      </c>
      <c r="C39" t="s">
        <v>324</v>
      </c>
      <c r="D39" t="s">
        <v>325</v>
      </c>
      <c r="E39" t="s">
        <v>326</v>
      </c>
      <c r="F39" t="s">
        <v>129</v>
      </c>
      <c r="G39" t="s">
        <v>36</v>
      </c>
      <c r="H39" t="s">
        <v>57</v>
      </c>
      <c r="I39">
        <v>12</v>
      </c>
      <c r="J39">
        <v>5</v>
      </c>
      <c r="K39">
        <v>1249055</v>
      </c>
      <c r="L39" s="10" t="s">
        <v>26</v>
      </c>
      <c r="M39" t="s">
        <v>131</v>
      </c>
      <c r="N39" t="s">
        <v>327</v>
      </c>
      <c r="O39">
        <v>38</v>
      </c>
      <c r="P39" t="s">
        <v>328</v>
      </c>
      <c r="Q39" s="12" t="str">
        <f>HYPERLINK("https://www.bigbuy.eu/fr/shop/product/lingettes-impregnees-elka-pieterman-1110000036_1249055","https://www.bigbuy.eu/fr/shop/product/lingettes-impregnees-elka-pieterman-1110000036_1249055")</f>
        <v>https://www.bigbuy.eu/fr/shop/product/lingettes-impregnees-elka-pieterman-1110000036_1249055</v>
      </c>
      <c r="R39" t="s">
        <v>180</v>
      </c>
    </row>
    <row r="40" ht="15" customHeight="1">
      <c r="A40" t="s">
        <v>330</v>
      </c>
      <c r="B40">
        <v>60</v>
      </c>
      <c r="C40" t="s">
        <v>331</v>
      </c>
      <c r="D40" t="s">
        <v>325</v>
      </c>
      <c r="E40" t="s">
        <v>332</v>
      </c>
      <c r="F40" t="s">
        <v>129</v>
      </c>
      <c r="G40" t="s">
        <v>310</v>
      </c>
      <c r="H40" t="s">
        <v>57</v>
      </c>
      <c r="I40">
        <v>10</v>
      </c>
      <c r="J40">
        <v>4</v>
      </c>
      <c r="K40">
        <v>1237204</v>
      </c>
      <c r="L40" s="10" t="s">
        <v>26</v>
      </c>
      <c r="M40" t="s">
        <v>131</v>
      </c>
      <c r="N40" t="s">
        <v>333</v>
      </c>
      <c r="O40">
        <v>39</v>
      </c>
      <c r="P40" t="s">
        <v>334</v>
      </c>
      <c r="Q40" s="11" t="str">
        <f>HYPERLINK("https://www.bigbuy.eu/fr/shop/product/detergent-liquide-irs-citronella-750-ml_1237204","https://www.bigbuy.eu/fr/shop/product/detergent-liquide-irs-citronella-750-ml_1237204")</f>
        <v>https://www.bigbuy.eu/fr/shop/product/detergent-liquide-irs-citronella-750-ml_1237204</v>
      </c>
      <c r="R40" t="s">
        <v>180</v>
      </c>
    </row>
    <row r="41" ht="15" customHeight="1">
      <c r="A41" t="s">
        <v>336</v>
      </c>
      <c r="B41">
        <v>63</v>
      </c>
      <c r="C41" t="s">
        <v>337</v>
      </c>
      <c r="D41" t="s">
        <v>325</v>
      </c>
      <c r="E41" t="s">
        <v>338</v>
      </c>
      <c r="F41" t="s">
        <v>129</v>
      </c>
      <c r="G41" t="s">
        <v>36</v>
      </c>
      <c r="H41" t="s">
        <v>57</v>
      </c>
      <c r="I41">
        <v>8</v>
      </c>
      <c r="J41">
        <v>3</v>
      </c>
      <c r="K41">
        <v>353949</v>
      </c>
      <c r="L41" s="10" t="s">
        <v>26</v>
      </c>
      <c r="M41" t="s">
        <v>131</v>
      </c>
      <c r="N41" t="s">
        <v>339</v>
      </c>
      <c r="O41">
        <v>40</v>
      </c>
      <c r="P41" t="s">
        <v>340</v>
      </c>
      <c r="Q41" s="12" t="str">
        <f>HYPERLINK("https://www.bigbuy.eu/fr/shop/product/rasoir-pour-le-corps-braun-series-3-300s_353949","https://www.bigbuy.eu/fr/shop/product/rasoir-pour-le-corps-braun-series-3-300s_353949")</f>
        <v>https://www.bigbuy.eu/fr/shop/product/rasoir-pour-le-corps-braun-series-3-300s_353949</v>
      </c>
      <c r="R41" t="s">
        <v>255</v>
      </c>
    </row>
    <row r="42" ht="15" customHeight="1">
      <c r="A42" t="s">
        <v>342</v>
      </c>
      <c r="B42">
        <v>58</v>
      </c>
      <c r="C42" t="s">
        <v>343</v>
      </c>
      <c r="D42" t="s">
        <v>271</v>
      </c>
      <c r="E42" t="s">
        <v>344</v>
      </c>
      <c r="F42" t="s">
        <v>129</v>
      </c>
      <c r="G42" t="s">
        <v>23</v>
      </c>
      <c r="H42" t="s">
        <v>200</v>
      </c>
      <c r="I42">
        <v>12</v>
      </c>
      <c r="J42">
        <v>5</v>
      </c>
      <c r="K42" s="6">
        <v>804675</v>
      </c>
      <c r="L42" t="s">
        <v>26</v>
      </c>
      <c r="M42" t="s">
        <v>131</v>
      </c>
      <c r="N42" t="s">
        <v>345</v>
      </c>
      <c r="O42">
        <v>41</v>
      </c>
      <c r="P42" t="s">
        <v>346</v>
      </c>
      <c r="Q42" s="7" t="str">
        <f>HYPERLINK("https://www.bigbuy.eu/fr/shop/product/casquette-enfant-omp-omppr918c020_804675","https://www.bigbuy.eu/fr/shop/product/casquette-enfant-omp-omppr918c020_804675")</f>
        <v>https://www.bigbuy.eu/fr/shop/product/casquette-enfant-omp-omppr918c020_804675</v>
      </c>
      <c r="R42" t="s">
        <v>348</v>
      </c>
    </row>
    <row r="43" ht="15" customHeight="1">
      <c r="A43" t="s">
        <v>349</v>
      </c>
      <c r="B43">
        <v>55</v>
      </c>
      <c r="C43" t="s">
        <v>350</v>
      </c>
      <c r="D43" t="s">
        <v>299</v>
      </c>
      <c r="E43" t="s">
        <v>351</v>
      </c>
      <c r="F43" t="s">
        <v>129</v>
      </c>
      <c r="G43" t="s">
        <v>36</v>
      </c>
      <c r="H43" t="s">
        <v>352</v>
      </c>
      <c r="I43">
        <v>22</v>
      </c>
      <c r="J43">
        <v>10</v>
      </c>
      <c r="K43" s="4">
        <v>905762</v>
      </c>
      <c r="L43" s="4" t="s">
        <v>26</v>
      </c>
      <c r="M43" t="s">
        <v>131</v>
      </c>
      <c r="N43" t="s">
        <v>302</v>
      </c>
      <c r="O43">
        <v>42</v>
      </c>
      <c r="P43" t="s">
        <v>353</v>
      </c>
      <c r="Q43" s="5" t="str">
        <f t="shared" si="6" ref="Q43:Q77">HYPERLINK("https://www.bigbuy.eu/fr/shop/product/sac-a-dos-de-randonnee-safta-trekking-gris-25-l-30-x-52-x-16-cm_905762","https://www.bigbuy.eu/fr/shop/product/sac-a-dos-de-randonnee-safta-trekking-gris-25-l-30-x-52-x-16-cm_905762")</f>
        <v>https://www.bigbuy.eu/fr/shop/product/sac-a-dos-de-randonnee-safta-trekking-gris-25-l-30-x-52-x-16-cm_905762</v>
      </c>
      <c r="R43" t="s">
        <v>212</v>
      </c>
    </row>
    <row r="44" ht="15" customHeight="1">
      <c r="A44" t="s">
        <v>355</v>
      </c>
      <c r="B44">
        <v>55</v>
      </c>
      <c r="C44" t="s">
        <v>356</v>
      </c>
      <c r="D44" t="s">
        <v>127</v>
      </c>
      <c r="E44" t="s">
        <v>357</v>
      </c>
      <c r="F44" t="s">
        <v>129</v>
      </c>
      <c r="G44" t="s">
        <v>23</v>
      </c>
      <c r="H44" t="s">
        <v>358</v>
      </c>
      <c r="I44">
        <v>40</v>
      </c>
      <c r="J44">
        <v>18</v>
      </c>
      <c r="K44" s="6">
        <v>811889</v>
      </c>
      <c r="L44" t="s">
        <v>26</v>
      </c>
      <c r="M44" t="s">
        <v>131</v>
      </c>
      <c r="N44" t="s">
        <v>359</v>
      </c>
      <c r="O44">
        <v>43</v>
      </c>
      <c r="P44" t="s">
        <v>360</v>
      </c>
      <c r="Q44" s="7" t="str">
        <f>HYPERLINK("https://www.bigbuy.eu/fr/shop/product/sac-a-dos-de-randonnee-deuter-ac-lite-vert-16-l_811889","https://www.bigbuy.eu/fr/shop/product/sac-a-dos-de-randonnee-deuter-ac-lite-vert-16-l_811889")</f>
        <v>https://www.bigbuy.eu/fr/shop/product/sac-a-dos-de-randonnee-deuter-ac-lite-vert-16-l_811889</v>
      </c>
      <c r="R44" t="s">
        <v>165</v>
      </c>
    </row>
    <row r="45" ht="15" customHeight="1">
      <c r="A45" t="s">
        <v>362</v>
      </c>
      <c r="B45">
        <v>56</v>
      </c>
      <c r="C45" t="s">
        <v>363</v>
      </c>
      <c r="D45" t="s">
        <v>90</v>
      </c>
      <c r="E45" t="s">
        <v>364</v>
      </c>
      <c r="F45" t="s">
        <v>129</v>
      </c>
      <c r="G45" t="s">
        <v>310</v>
      </c>
      <c r="H45" t="s">
        <v>57</v>
      </c>
      <c r="I45">
        <v>18</v>
      </c>
      <c r="J45">
        <v>8</v>
      </c>
      <c r="K45">
        <v>1277711</v>
      </c>
      <c r="L45" s="10" t="s">
        <v>26</v>
      </c>
      <c r="M45" t="s">
        <v>131</v>
      </c>
      <c r="N45" t="s">
        <v>365</v>
      </c>
      <c r="O45">
        <v>44</v>
      </c>
      <c r="P45" t="s">
        <v>366</v>
      </c>
      <c r="Q45" s="12" t="str">
        <f t="shared" si="0"/>
        <v>https://www.bigbuy.eu/fr/shop/product/sac-a-bandouliere-reebok-tech-style-city_1277711</v>
      </c>
      <c r="R45" t="s">
        <v>173</v>
      </c>
    </row>
    <row r="46" ht="15" customHeight="1">
      <c r="A46" t="s">
        <v>367</v>
      </c>
      <c r="B46">
        <v>54</v>
      </c>
      <c r="C46" t="s">
        <v>368</v>
      </c>
      <c r="D46" t="s">
        <v>317</v>
      </c>
      <c r="E46" t="s">
        <v>369</v>
      </c>
      <c r="F46" t="s">
        <v>129</v>
      </c>
      <c r="G46" t="s">
        <v>310</v>
      </c>
      <c r="H46" t="s">
        <v>370</v>
      </c>
      <c r="I46">
        <v>65</v>
      </c>
      <c r="J46">
        <v>30</v>
      </c>
      <c r="K46" s="6">
        <v>1101476</v>
      </c>
      <c r="L46" t="s">
        <v>26</v>
      </c>
      <c r="M46" t="s">
        <v>131</v>
      </c>
      <c r="N46" t="s">
        <v>371</v>
      </c>
      <c r="O46">
        <v>45</v>
      </c>
      <c r="P46" t="s">
        <v>372</v>
      </c>
      <c r="Q46" s="7" t="str">
        <f>HYPERLINK("https://www.bigbuy.eu/fr/shop/product/valise-cabine-harper-neyer-blue-marine-20-20-l-34-5-x-55-x-20-cm_1101476","https://www.bigbuy.eu/fr/shop/product/valise-cabine-harper-neyer-blue-marine-20-20-l-34-5-x-55-x-20-cm_1101476")</f>
        <v>https://www.bigbuy.eu/fr/shop/product/valise-cabine-harper-neyer-blue-marine-20-20-l-34-5-x-55-x-20-cm_1101476</v>
      </c>
      <c r="R46" t="s">
        <v>374</v>
      </c>
    </row>
    <row r="47" ht="15" customHeight="1">
      <c r="A47" t="s">
        <v>375</v>
      </c>
      <c r="B47">
        <v>58</v>
      </c>
      <c r="C47" t="s">
        <v>376</v>
      </c>
      <c r="D47" t="s">
        <v>222</v>
      </c>
      <c r="E47" t="s">
        <v>377</v>
      </c>
      <c r="F47" t="s">
        <v>129</v>
      </c>
      <c r="G47" t="s">
        <v>36</v>
      </c>
      <c r="H47" t="s">
        <v>57</v>
      </c>
      <c r="I47">
        <v>12</v>
      </c>
      <c r="J47">
        <v>5</v>
      </c>
      <c r="K47" s="4">
        <v>1235033</v>
      </c>
      <c r="L47" s="4" t="s">
        <v>26</v>
      </c>
      <c r="M47" t="s">
        <v>131</v>
      </c>
      <c r="N47" t="s">
        <v>378</v>
      </c>
      <c r="O47">
        <v>46</v>
      </c>
      <c r="P47" t="s">
        <v>379</v>
      </c>
      <c r="Q47" s="5" t="str">
        <f>HYPERLINK("https://www.bigbuy.eu/fr/shop/product/chargeur-piles-rechargeables-duracell-3-unites_1235033","https://www.bigbuy.eu/fr/shop/product/chargeur-piles-rechargeables-duracell-3-unites_1235033")</f>
        <v>https://www.bigbuy.eu/fr/shop/product/chargeur-piles-rechargeables-duracell-3-unites_1235033</v>
      </c>
      <c r="R47" t="s">
        <v>180</v>
      </c>
    </row>
    <row r="48" ht="15" customHeight="1">
      <c r="A48" t="s">
        <v>381</v>
      </c>
      <c r="B48">
        <v>56</v>
      </c>
      <c r="C48" t="s">
        <v>382</v>
      </c>
      <c r="D48" t="s">
        <v>90</v>
      </c>
      <c r="E48" t="s">
        <v>383</v>
      </c>
      <c r="F48" t="s">
        <v>129</v>
      </c>
      <c r="G48" t="s">
        <v>36</v>
      </c>
      <c r="H48" t="s">
        <v>57</v>
      </c>
      <c r="I48">
        <v>18</v>
      </c>
      <c r="J48">
        <v>8</v>
      </c>
      <c r="K48">
        <v>1109060</v>
      </c>
      <c r="L48" s="10" t="s">
        <v>26</v>
      </c>
      <c r="M48" t="s">
        <v>131</v>
      </c>
      <c r="N48" t="s">
        <v>94</v>
      </c>
      <c r="O48">
        <v>47</v>
      </c>
      <c r="P48" t="s">
        <v>384</v>
      </c>
      <c r="Q48" s="11" t="str">
        <f t="shared" si="5" ref="Q48:Q72">HYPERLINK("https://www.bigbuy.eu/fr/shop/product/sac-banane-osprey-os1-175-1-l-xl-noir_1109060","https://www.bigbuy.eu/fr/shop/product/sac-banane-osprey-os1-175-1-l-xl-noir_1109060")</f>
        <v>https://www.bigbuy.eu/fr/shop/product/sac-banane-osprey-os1-175-1-l-xl-noir_1109060</v>
      </c>
      <c r="R48" t="s">
        <v>219</v>
      </c>
    </row>
    <row r="49" ht="15" customHeight="1">
      <c r="A49" t="s">
        <v>385</v>
      </c>
      <c r="B49">
        <v>57</v>
      </c>
      <c r="C49" t="s">
        <v>386</v>
      </c>
      <c r="D49" t="s">
        <v>99</v>
      </c>
      <c r="E49" t="s">
        <v>387</v>
      </c>
      <c r="F49" t="s">
        <v>129</v>
      </c>
      <c r="G49" t="s">
        <v>36</v>
      </c>
      <c r="H49" t="s">
        <v>388</v>
      </c>
      <c r="I49">
        <v>14</v>
      </c>
      <c r="J49">
        <v>6</v>
      </c>
      <c r="K49">
        <v>1093084</v>
      </c>
      <c r="L49" s="10" t="s">
        <v>26</v>
      </c>
      <c r="M49" t="s">
        <v>131</v>
      </c>
      <c r="N49" t="s">
        <v>389</v>
      </c>
      <c r="O49">
        <v>48</v>
      </c>
      <c r="P49" t="s">
        <v>390</v>
      </c>
      <c r="Q49" s="12" t="str">
        <f>HYPERLINK("https://www.bigbuy.eu/fr/shop/product/tasse-thermos-avec-couvercle-f-c-barcelona-blue-marine-acier-inoxydable_1093084","https://www.bigbuy.eu/fr/shop/product/tasse-thermos-avec-couvercle-f-c-barcelona-blue-marine-acier-inoxydable_1093084")</f>
        <v>https://www.bigbuy.eu/fr/shop/product/tasse-thermos-avec-couvercle-f-c-barcelona-blue-marine-acier-inoxydable_1093084</v>
      </c>
      <c r="R49" t="s">
        <v>219</v>
      </c>
    </row>
    <row r="50" ht="15" customHeight="1">
      <c r="A50" t="s">
        <v>392</v>
      </c>
      <c r="B50">
        <v>58</v>
      </c>
      <c r="C50" t="s">
        <v>393</v>
      </c>
      <c r="D50" t="s">
        <v>207</v>
      </c>
      <c r="E50" t="s">
        <v>394</v>
      </c>
      <c r="F50" t="s">
        <v>129</v>
      </c>
      <c r="G50" t="s">
        <v>23</v>
      </c>
      <c r="H50" t="s">
        <v>57</v>
      </c>
      <c r="I50">
        <v>12</v>
      </c>
      <c r="J50">
        <v>5</v>
      </c>
      <c r="K50">
        <v>1231471</v>
      </c>
      <c r="L50" s="10" t="s">
        <v>26</v>
      </c>
      <c r="M50" t="s">
        <v>131</v>
      </c>
      <c r="N50" t="s">
        <v>395</v>
      </c>
      <c r="O50">
        <v>49</v>
      </c>
      <c r="P50" t="s">
        <v>396</v>
      </c>
      <c r="Q50" s="11" t="str">
        <f>HYPERLINK("https://www.bigbuy.eu/fr/shop/product/compas-a-charniere-a-pointes-vogel-250-mm_1231471","https://www.bigbuy.eu/fr/shop/product/compas-a-charniere-a-pointes-vogel-250-mm_1231471")</f>
        <v>https://www.bigbuy.eu/fr/shop/product/compas-a-charniere-a-pointes-vogel-250-mm_1231471</v>
      </c>
      <c r="R50" t="s">
        <v>255</v>
      </c>
    </row>
    <row r="51" ht="15" customHeight="1">
      <c r="A51" t="s">
        <v>398</v>
      </c>
      <c r="B51">
        <v>67</v>
      </c>
      <c r="C51" t="s">
        <v>399</v>
      </c>
      <c r="D51" t="s">
        <v>54</v>
      </c>
      <c r="E51" t="s">
        <v>400</v>
      </c>
      <c r="F51" t="s">
        <v>129</v>
      </c>
      <c r="G51" t="s">
        <v>23</v>
      </c>
      <c r="H51" t="s">
        <v>192</v>
      </c>
      <c r="I51">
        <v>6</v>
      </c>
      <c r="J51">
        <v>2</v>
      </c>
      <c r="K51" s="4">
        <v>1099940</v>
      </c>
      <c r="L51" t="s">
        <v>26</v>
      </c>
      <c r="M51" t="s">
        <v>131</v>
      </c>
      <c r="N51" t="s">
        <v>185</v>
      </c>
      <c r="O51">
        <v>50</v>
      </c>
      <c r="P51" t="s">
        <v>186</v>
      </c>
      <c r="Q51" s="5" t="str">
        <f>HYPERLINK("https://www.bigbuy.eu/fr/shop/product/sifflet-gloria-level2-argente_1099940","https://www.bigbuy.eu/fr/shop/product/sifflet-gloria-level2-argente_1099940")</f>
        <v>https://www.bigbuy.eu/fr/shop/product/sifflet-gloria-level2-argente_1099940</v>
      </c>
      <c r="R51" t="s">
        <v>402</v>
      </c>
    </row>
    <row r="52" ht="15" customHeight="1">
      <c r="A52" t="s">
        <v>403</v>
      </c>
      <c r="B52">
        <v>58</v>
      </c>
      <c r="C52" t="s">
        <v>404</v>
      </c>
      <c r="D52" t="s">
        <v>90</v>
      </c>
      <c r="E52" t="s">
        <v>405</v>
      </c>
      <c r="F52" t="s">
        <v>129</v>
      </c>
      <c r="G52" t="s">
        <v>23</v>
      </c>
      <c r="H52" t="s">
        <v>406</v>
      </c>
      <c r="I52">
        <v>12</v>
      </c>
      <c r="J52">
        <v>5</v>
      </c>
      <c r="K52">
        <v>1091304</v>
      </c>
      <c r="L52" s="10" t="s">
        <v>26</v>
      </c>
      <c r="M52" t="s">
        <v>131</v>
      </c>
      <c r="N52" t="s">
        <v>407</v>
      </c>
      <c r="O52">
        <v>51</v>
      </c>
      <c r="P52" t="s">
        <v>408</v>
      </c>
      <c r="Q52" s="11" t="str">
        <f t="shared" si="7" ref="Q52:Q78">HYPERLINK("https://www.bigbuy.eu/fr/shop/product/bouteille-filtrante-brita-1052250-bleu-fonce_1091304","https://www.bigbuy.eu/fr/shop/product/bouteille-filtrante-brita-1052250-bleu-fonce_1091304")</f>
        <v>https://www.bigbuy.eu/fr/shop/product/bouteille-filtrante-brita-1052250-bleu-fonce_1091304</v>
      </c>
      <c r="R52" t="s">
        <v>180</v>
      </c>
    </row>
    <row r="53" ht="15" customHeight="1">
      <c r="A53" t="s">
        <v>410</v>
      </c>
      <c r="B53">
        <v>57</v>
      </c>
      <c r="C53" t="s">
        <v>411</v>
      </c>
      <c r="D53" t="s">
        <v>20</v>
      </c>
      <c r="E53" t="s">
        <v>412</v>
      </c>
      <c r="F53" t="s">
        <v>129</v>
      </c>
      <c r="G53" t="s">
        <v>36</v>
      </c>
      <c r="H53" t="s">
        <v>57</v>
      </c>
      <c r="I53">
        <v>14</v>
      </c>
      <c r="J53">
        <v>6</v>
      </c>
      <c r="K53" s="4">
        <v>1153156</v>
      </c>
      <c r="L53" s="4" t="s">
        <v>26</v>
      </c>
      <c r="M53" t="s">
        <v>131</v>
      </c>
      <c r="N53" t="s">
        <v>28</v>
      </c>
      <c r="O53">
        <v>52</v>
      </c>
      <c r="P53" t="s">
        <v>413</v>
      </c>
      <c r="Q53" s="5" t="str">
        <f>HYPERLINK("https://www.bigbuy.eu/fr/shop/product/lampe-torche-led-retlux_1153156","https://www.bigbuy.eu/fr/shop/product/lampe-torche-led-retlux_1153156")</f>
        <v>https://www.bigbuy.eu/fr/shop/product/lampe-torche-led-retlux_1153156</v>
      </c>
      <c r="R53" t="s">
        <v>180</v>
      </c>
    </row>
    <row r="54" ht="15" customHeight="1">
      <c r="A54" t="s">
        <v>415</v>
      </c>
      <c r="B54">
        <v>53</v>
      </c>
      <c r="C54" t="s">
        <v>416</v>
      </c>
      <c r="D54" t="s">
        <v>127</v>
      </c>
      <c r="E54" t="s">
        <v>417</v>
      </c>
      <c r="F54" t="s">
        <v>129</v>
      </c>
      <c r="G54" t="s">
        <v>23</v>
      </c>
      <c r="H54" t="s">
        <v>418</v>
      </c>
      <c r="I54">
        <v>85</v>
      </c>
      <c r="J54">
        <v>40</v>
      </c>
      <c r="K54" s="6">
        <v>811846</v>
      </c>
      <c r="L54" t="s">
        <v>26</v>
      </c>
      <c r="M54" t="s">
        <v>131</v>
      </c>
      <c r="N54" t="s">
        <v>419</v>
      </c>
      <c r="O54">
        <v>53</v>
      </c>
      <c r="P54" t="s">
        <v>420</v>
      </c>
      <c r="Q54" s="7" t="str">
        <f t="shared" si="1"/>
        <v>https://www.bigbuy.eu/fr/shop/product/sac-a-dos-de-randonnee-deuter-ac-lite-28-l_811846</v>
      </c>
      <c r="R54" t="s">
        <v>421</v>
      </c>
    </row>
    <row r="55" ht="15" customHeight="1">
      <c r="A55" t="s">
        <v>422</v>
      </c>
      <c r="B55">
        <v>53</v>
      </c>
      <c r="C55" t="s">
        <v>423</v>
      </c>
      <c r="D55" t="s">
        <v>108</v>
      </c>
      <c r="E55" t="s">
        <v>424</v>
      </c>
      <c r="F55" t="s">
        <v>129</v>
      </c>
      <c r="G55" t="s">
        <v>23</v>
      </c>
      <c r="H55" t="s">
        <v>425</v>
      </c>
      <c r="I55">
        <v>75</v>
      </c>
      <c r="J55">
        <v>35</v>
      </c>
      <c r="K55" s="4">
        <v>1091688</v>
      </c>
      <c r="L55" t="s">
        <v>26</v>
      </c>
      <c r="M55" t="s">
        <v>131</v>
      </c>
      <c r="N55" t="s">
        <v>426</v>
      </c>
      <c r="O55">
        <v>54</v>
      </c>
      <c r="P55" t="s">
        <v>427</v>
      </c>
      <c r="Q55" s="5" t="str">
        <f>HYPERLINK("https://www.bigbuy.eu/fr/shop/product/magasin-de-campagne-bestway-multicouleur-127-x-125-x-240-cm_1091688","https://www.bigbuy.eu/fr/shop/product/magasin-de-campagne-bestway-multicouleur-127-x-125-x-240-cm_1091688")</f>
        <v>https://www.bigbuy.eu/fr/shop/product/magasin-de-campagne-bestway-multicouleur-127-x-125-x-240-cm_1091688</v>
      </c>
      <c r="R55" t="s">
        <v>374</v>
      </c>
    </row>
    <row r="56" ht="15" customHeight="1">
      <c r="A56" t="s">
        <v>429</v>
      </c>
      <c r="B56">
        <v>52</v>
      </c>
      <c r="C56" t="s">
        <v>430</v>
      </c>
      <c r="D56" t="s">
        <v>108</v>
      </c>
      <c r="E56" t="s">
        <v>431</v>
      </c>
      <c r="F56" t="s">
        <v>129</v>
      </c>
      <c r="G56" t="s">
        <v>36</v>
      </c>
      <c r="H56" t="s">
        <v>432</v>
      </c>
      <c r="I56">
        <v>115</v>
      </c>
      <c r="J56">
        <v>55</v>
      </c>
      <c r="K56" s="6">
        <v>1091707</v>
      </c>
      <c r="L56" s="6" t="s">
        <v>26</v>
      </c>
      <c r="M56" t="s">
        <v>131</v>
      </c>
      <c r="N56" t="s">
        <v>433</v>
      </c>
      <c r="O56">
        <v>55</v>
      </c>
      <c r="P56" t="s">
        <v>434</v>
      </c>
      <c r="Q56" s="7" t="str">
        <f t="shared" si="2"/>
        <v>https://www.bigbuy.eu/fr/shop/product/magasin-de-campagne-bestway-multicouleur-210-x-138-x-240-cm_1091707</v>
      </c>
      <c r="R56" t="s">
        <v>435</v>
      </c>
    </row>
    <row r="57" ht="15" customHeight="1">
      <c r="A57" t="s">
        <v>436</v>
      </c>
      <c r="B57">
        <v>53</v>
      </c>
      <c r="C57" t="s">
        <v>437</v>
      </c>
      <c r="D57" t="s">
        <v>108</v>
      </c>
      <c r="E57" t="s">
        <v>438</v>
      </c>
      <c r="F57" t="s">
        <v>129</v>
      </c>
      <c r="G57" t="s">
        <v>36</v>
      </c>
      <c r="H57" t="s">
        <v>439</v>
      </c>
      <c r="I57">
        <v>32</v>
      </c>
      <c r="J57">
        <v>15</v>
      </c>
      <c r="K57">
        <v>818850</v>
      </c>
      <c r="L57" s="10" t="s">
        <v>26</v>
      </c>
      <c r="M57" t="s">
        <v>131</v>
      </c>
      <c r="N57" t="s">
        <v>433</v>
      </c>
      <c r="O57">
        <v>56</v>
      </c>
      <c r="P57" t="s">
        <v>440</v>
      </c>
      <c r="Q57" s="12" t="str">
        <f>HYPERLINK("https://www.bigbuy.eu/fr/shop/product/sac-de-couchage-pour-bebe-tineo-summer-tifruits-6-mois-coton_818850","https://www.bigbuy.eu/fr/shop/product/sac-de-couchage-pour-bebe-tineo-summer-tifruits-6-mois-coton_818850")</f>
        <v>https://www.bigbuy.eu/fr/shop/product/sac-de-couchage-pour-bebe-tineo-summer-tifruits-6-mois-coton_818850</v>
      </c>
      <c r="R57" t="s">
        <v>442</v>
      </c>
    </row>
    <row r="58" ht="15" customHeight="1">
      <c r="A58" t="s">
        <v>443</v>
      </c>
      <c r="B58">
        <v>60</v>
      </c>
      <c r="C58" t="s">
        <v>444</v>
      </c>
      <c r="D58" t="s">
        <v>445</v>
      </c>
      <c r="E58" t="s">
        <v>446</v>
      </c>
      <c r="F58" t="s">
        <v>129</v>
      </c>
      <c r="G58" t="s">
        <v>23</v>
      </c>
      <c r="H58" t="s">
        <v>282</v>
      </c>
      <c r="I58">
        <v>10</v>
      </c>
      <c r="J58">
        <v>4</v>
      </c>
      <c r="K58" s="6">
        <v>1145990</v>
      </c>
      <c r="L58" t="s">
        <v>26</v>
      </c>
      <c r="M58" t="s">
        <v>131</v>
      </c>
      <c r="N58" t="s">
        <v>447</v>
      </c>
      <c r="O58">
        <v>57</v>
      </c>
      <c r="P58" t="s">
        <v>448</v>
      </c>
      <c r="Q58" s="7" t="str">
        <f>HYPERLINK("https://www.bigbuy.eu/fr/shop/product/chaussettes-de-sport-puma-quarter-plain-3p-701230337-882-gris-3-paires_1145990","https://www.bigbuy.eu/fr/shop/product/chaussettes-de-sport-puma-quarter-plain-3p-701230337-882-gris-3-paires_1145990")</f>
        <v>https://www.bigbuy.eu/fr/shop/product/chaussettes-de-sport-puma-quarter-plain-3p-701230337-882-gris-3-paires_1145990</v>
      </c>
      <c r="R58" t="s">
        <v>348</v>
      </c>
    </row>
    <row r="59" ht="15" customHeight="1">
      <c r="A59" t="s">
        <v>450</v>
      </c>
      <c r="B59">
        <v>58</v>
      </c>
      <c r="C59" t="s">
        <v>451</v>
      </c>
      <c r="D59" t="s">
        <v>445</v>
      </c>
      <c r="E59" t="s">
        <v>452</v>
      </c>
      <c r="F59" t="s">
        <v>129</v>
      </c>
      <c r="G59" t="s">
        <v>36</v>
      </c>
      <c r="H59" t="s">
        <v>200</v>
      </c>
      <c r="I59">
        <v>12</v>
      </c>
      <c r="J59">
        <v>5</v>
      </c>
      <c r="K59" s="4">
        <v>631199</v>
      </c>
      <c r="L59" s="4" t="s">
        <v>26</v>
      </c>
      <c r="M59" t="s">
        <v>131</v>
      </c>
      <c r="N59" t="s">
        <v>447</v>
      </c>
      <c r="O59">
        <v>58</v>
      </c>
      <c r="P59" t="s">
        <v>453</v>
      </c>
      <c r="Q59" s="5" t="str">
        <f>HYPERLINK("https://www.bigbuy.eu/fr/shop/product/modeles-sport-blanc-coton-plastique-latex-9-5-x-29-5-cm-11-5-x-0-5-x-36-cm-12-unites_631199","https://www.bigbuy.eu/fr/shop/product/modeles-sport-blanc-coton-plastique-latex-9-5-x-29-5-cm-11-5-x-0-5-x-36-cm-12-unites_631199")</f>
        <v>https://www.bigbuy.eu/fr/shop/product/modeles-sport-blanc-coton-plastique-latex-9-5-x-29-5-cm-11-5-x-0-5-x-36-cm-12-unites_631199</v>
      </c>
      <c r="R59" t="s">
        <v>180</v>
      </c>
    </row>
    <row r="60" ht="15" customHeight="1">
      <c r="A60" t="s">
        <v>455</v>
      </c>
      <c r="B60">
        <v>63</v>
      </c>
      <c r="C60" t="s">
        <v>456</v>
      </c>
      <c r="D60" t="s">
        <v>445</v>
      </c>
      <c r="E60" t="s">
        <v>457</v>
      </c>
      <c r="F60" t="s">
        <v>129</v>
      </c>
      <c r="G60" t="s">
        <v>23</v>
      </c>
      <c r="H60" t="s">
        <v>57</v>
      </c>
      <c r="I60">
        <v>8</v>
      </c>
      <c r="J60">
        <v>3</v>
      </c>
      <c r="K60">
        <v>1063551</v>
      </c>
      <c r="L60" s="10" t="s">
        <v>26</v>
      </c>
      <c r="M60" t="s">
        <v>131</v>
      </c>
      <c r="N60" t="s">
        <v>458</v>
      </c>
      <c r="O60">
        <v>59</v>
      </c>
      <c r="P60" t="s">
        <v>459</v>
      </c>
      <c r="Q60" s="11" t="str">
        <f>HYPERLINK("https://www.bigbuy.eu/fr/shop/product/trousse-de-premiers-secours-kerbl_1063551","https://www.bigbuy.eu/fr/shop/product/trousse-de-premiers-secours-kerbl_1063551")</f>
        <v>https://www.bigbuy.eu/fr/shop/product/trousse-de-premiers-secours-kerbl_1063551</v>
      </c>
      <c r="R60" t="s">
        <v>255</v>
      </c>
    </row>
    <row r="61" ht="15" customHeight="1">
      <c r="A61" t="s">
        <v>460</v>
      </c>
      <c r="B61">
        <v>67</v>
      </c>
      <c r="C61" t="s">
        <v>461</v>
      </c>
      <c r="D61" t="s">
        <v>325</v>
      </c>
      <c r="E61" t="s">
        <v>462</v>
      </c>
      <c r="F61" t="s">
        <v>129</v>
      </c>
      <c r="G61" t="s">
        <v>23</v>
      </c>
      <c r="H61" t="s">
        <v>463</v>
      </c>
      <c r="I61">
        <v>6</v>
      </c>
      <c r="J61">
        <v>2</v>
      </c>
      <c r="K61" s="4">
        <v>381317</v>
      </c>
      <c r="L61" t="s">
        <v>26</v>
      </c>
      <c r="M61" t="s">
        <v>131</v>
      </c>
      <c r="N61" t="s">
        <v>464</v>
      </c>
      <c r="O61">
        <v>60</v>
      </c>
      <c r="P61" t="s">
        <v>465</v>
      </c>
      <c r="Q61" s="5" t="str">
        <f>HYPERLINK("https://www.bigbuy.eu/fr/shop/product/gel-hydroalcoolique-kn95-masque_381317","https://www.bigbuy.eu/fr/shop/product/gel-hydroalcoolique-kn95-masque_381317")</f>
        <v>https://www.bigbuy.eu/fr/shop/product/gel-hydroalcoolique-kn95-masque_381317</v>
      </c>
      <c r="R61" t="s">
        <v>180</v>
      </c>
    </row>
    <row r="62" ht="15" customHeight="1">
      <c r="A62" t="s">
        <v>467</v>
      </c>
      <c r="B62">
        <v>56</v>
      </c>
      <c r="C62" t="s">
        <v>468</v>
      </c>
      <c r="D62" t="s">
        <v>54</v>
      </c>
      <c r="E62" t="s">
        <v>469</v>
      </c>
      <c r="F62" t="s">
        <v>129</v>
      </c>
      <c r="G62" t="s">
        <v>36</v>
      </c>
      <c r="H62" t="s">
        <v>57</v>
      </c>
      <c r="I62">
        <v>18</v>
      </c>
      <c r="J62">
        <v>8</v>
      </c>
      <c r="K62">
        <v>1224548</v>
      </c>
      <c r="L62" s="10" t="s">
        <v>26</v>
      </c>
      <c r="M62" t="s">
        <v>131</v>
      </c>
      <c r="N62" t="s">
        <v>470</v>
      </c>
      <c r="O62">
        <v>80</v>
      </c>
      <c r="P62" t="s">
        <v>471</v>
      </c>
      <c r="Q62" s="11" t="str">
        <f>HYPERLINK("https://www.bigbuy.eu/fr/shop/product/colliers-de-cable-jokari-system-4-70-no-70_1224548","https://www.bigbuy.eu/fr/shop/product/colliers-de-cable-jokari-system-4-70-no-70_1224548")</f>
        <v>https://www.bigbuy.eu/fr/shop/product/colliers-de-cable-jokari-system-4-70-no-70_1224548</v>
      </c>
      <c r="R62" t="s">
        <v>173</v>
      </c>
    </row>
    <row r="63" ht="15" customHeight="1">
      <c r="A63" t="s">
        <v>473</v>
      </c>
      <c r="B63">
        <v>60</v>
      </c>
      <c r="C63" t="s">
        <v>474</v>
      </c>
      <c r="D63" t="s">
        <v>71</v>
      </c>
      <c r="E63" t="s">
        <v>475</v>
      </c>
      <c r="F63" t="s">
        <v>476</v>
      </c>
      <c r="G63" t="s">
        <v>23</v>
      </c>
      <c r="H63" t="s">
        <v>237</v>
      </c>
      <c r="I63">
        <v>10</v>
      </c>
      <c r="J63">
        <v>4</v>
      </c>
      <c r="K63" t="s">
        <v>477</v>
      </c>
      <c r="L63" t="s">
        <v>26</v>
      </c>
      <c r="M63" t="s">
        <v>27</v>
      </c>
      <c r="N63" t="s">
        <v>478</v>
      </c>
      <c r="O63">
        <v>61</v>
      </c>
      <c r="P63" t="s">
        <v>239</v>
      </c>
      <c r="Q63" t="s">
        <v>479</v>
      </c>
      <c r="R63" t="s">
        <v>180</v>
      </c>
    </row>
    <row r="64" ht="15" customHeight="1">
      <c r="A64" t="s">
        <v>480</v>
      </c>
      <c r="B64">
        <v>63</v>
      </c>
      <c r="C64" t="s">
        <v>481</v>
      </c>
      <c r="D64" t="s">
        <v>71</v>
      </c>
      <c r="E64" t="s">
        <v>482</v>
      </c>
      <c r="F64" t="s">
        <v>483</v>
      </c>
      <c r="G64" t="s">
        <v>36</v>
      </c>
      <c r="H64" t="s">
        <v>237</v>
      </c>
      <c r="I64">
        <v>8</v>
      </c>
      <c r="J64">
        <v>3</v>
      </c>
      <c r="K64" t="s">
        <v>484</v>
      </c>
      <c r="L64" t="s">
        <v>26</v>
      </c>
      <c r="M64" t="s">
        <v>27</v>
      </c>
      <c r="N64" t="s">
        <v>485</v>
      </c>
      <c r="O64">
        <v>62</v>
      </c>
      <c r="P64" t="s">
        <v>486</v>
      </c>
      <c r="Q64" t="s">
        <v>487</v>
      </c>
      <c r="R64" t="s">
        <v>488</v>
      </c>
    </row>
    <row r="65" ht="15" customHeight="1">
      <c r="A65" t="s">
        <v>489</v>
      </c>
      <c r="B65">
        <v>64</v>
      </c>
      <c r="C65" t="s">
        <v>490</v>
      </c>
      <c r="D65" t="s">
        <v>71</v>
      </c>
      <c r="E65" t="s">
        <v>491</v>
      </c>
      <c r="F65" t="s">
        <v>492</v>
      </c>
      <c r="G65" t="s">
        <v>23</v>
      </c>
      <c r="H65" t="s">
        <v>200</v>
      </c>
      <c r="I65">
        <v>14</v>
      </c>
      <c r="J65">
        <v>5</v>
      </c>
      <c r="K65" s="4">
        <v>1206601</v>
      </c>
      <c r="L65" t="s">
        <v>26</v>
      </c>
      <c r="M65" t="s">
        <v>131</v>
      </c>
      <c r="N65" t="s">
        <v>493</v>
      </c>
      <c r="O65">
        <v>63</v>
      </c>
      <c r="P65" t="s">
        <v>494</v>
      </c>
      <c r="Q65" s="5" t="str">
        <f>HYPERLINK("https://www.bigbuy.eu/fr/shop/product/lunettes-de-soleil-julbo-j5011221_1206601","https://www.bigbuy.eu/fr/shop/product/lunettes-de-soleil-julbo-j5011221_1206601")</f>
        <v>https://www.bigbuy.eu/fr/shop/product/lunettes-de-soleil-julbo-j5011221_1206601</v>
      </c>
      <c r="R65" t="s">
        <v>496</v>
      </c>
    </row>
    <row r="66" ht="15" customHeight="1">
      <c r="A66" t="s">
        <v>497</v>
      </c>
      <c r="B66">
        <v>60</v>
      </c>
      <c r="C66" t="s">
        <v>498</v>
      </c>
      <c r="D66" t="s">
        <v>445</v>
      </c>
      <c r="E66" t="s">
        <v>499</v>
      </c>
      <c r="F66" t="s">
        <v>129</v>
      </c>
      <c r="G66" t="s">
        <v>36</v>
      </c>
      <c r="H66" t="s">
        <v>282</v>
      </c>
      <c r="I66">
        <v>15</v>
      </c>
      <c r="J66">
        <v>6</v>
      </c>
      <c r="K66">
        <v>1249218</v>
      </c>
      <c r="L66" s="10" t="s">
        <v>26</v>
      </c>
      <c r="M66" t="s">
        <v>131</v>
      </c>
      <c r="N66" t="s">
        <v>447</v>
      </c>
      <c r="O66">
        <v>64</v>
      </c>
      <c r="P66" t="s">
        <v>500</v>
      </c>
      <c r="Q66" s="11" t="str">
        <f>HYPERLINK("https://www.bigbuy.eu/fr/shop/product/couteau-workpro_1249218","https://www.bigbuy.eu/fr/shop/product/couteau-workpro_1249218")</f>
        <v>https://www.bigbuy.eu/fr/shop/product/couteau-workpro_1249218</v>
      </c>
      <c r="R66" t="s">
        <v>180</v>
      </c>
    </row>
    <row r="67" ht="15" customHeight="1">
      <c r="A67" t="s">
        <v>502</v>
      </c>
      <c r="B67">
        <v>57</v>
      </c>
      <c r="C67" t="s">
        <v>137</v>
      </c>
      <c r="D67" t="s">
        <v>127</v>
      </c>
      <c r="E67" t="s">
        <v>503</v>
      </c>
      <c r="F67" t="s">
        <v>129</v>
      </c>
      <c r="G67" t="s">
        <v>23</v>
      </c>
      <c r="H67" t="s">
        <v>504</v>
      </c>
      <c r="I67">
        <v>28</v>
      </c>
      <c r="J67">
        <v>12</v>
      </c>
      <c r="K67">
        <v>1300701</v>
      </c>
      <c r="L67" s="10" t="s">
        <v>26</v>
      </c>
      <c r="M67" t="s">
        <v>131</v>
      </c>
      <c r="N67" t="s">
        <v>140</v>
      </c>
      <c r="O67">
        <v>65</v>
      </c>
      <c r="P67" t="s">
        <v>141</v>
      </c>
      <c r="Q67" s="12" t="str">
        <f t="shared" si="3"/>
        <v>https://www.bigbuy.eu/fr/shop/product/baton-trekking-aktive-5-3-x-135-x-5-3-cm_1300701</v>
      </c>
      <c r="R67" t="s">
        <v>505</v>
      </c>
    </row>
    <row r="68" ht="15" customHeight="1">
      <c r="A68" t="s">
        <v>506</v>
      </c>
      <c r="B68">
        <v>57</v>
      </c>
      <c r="C68" t="s">
        <v>507</v>
      </c>
      <c r="D68" t="s">
        <v>108</v>
      </c>
      <c r="E68" t="s">
        <v>508</v>
      </c>
      <c r="F68" t="s">
        <v>129</v>
      </c>
      <c r="G68" t="s">
        <v>23</v>
      </c>
      <c r="H68" t="s">
        <v>245</v>
      </c>
      <c r="I68">
        <v>35</v>
      </c>
      <c r="J68">
        <v>15</v>
      </c>
      <c r="K68" s="6">
        <v>979545</v>
      </c>
      <c r="L68" t="s">
        <v>26</v>
      </c>
      <c r="M68" t="s">
        <v>131</v>
      </c>
      <c r="N68" t="s">
        <v>509</v>
      </c>
      <c r="O68">
        <v>66</v>
      </c>
      <c r="P68" t="s">
        <v>149</v>
      </c>
      <c r="Q68" s="7" t="str">
        <f>HYPERLINK("https://www.bigbuy.eu/fr/shop/product/tente-de-plage-aktive-polyester-220-x-115-x-120-cm_979545","https://www.bigbuy.eu/fr/shop/product/tente-de-plage-aktive-polyester-220-x-115-x-120-cm_979545")</f>
        <v>https://www.bigbuy.eu/fr/shop/product/tente-de-plage-aktive-polyester-220-x-115-x-120-cm_979545</v>
      </c>
      <c r="R68" t="s">
        <v>511</v>
      </c>
    </row>
    <row r="69" ht="15" customHeight="1">
      <c r="A69" t="s">
        <v>512</v>
      </c>
      <c r="B69">
        <v>56</v>
      </c>
      <c r="C69" t="s">
        <v>513</v>
      </c>
      <c r="D69" t="s">
        <v>243</v>
      </c>
      <c r="E69" t="s">
        <v>514</v>
      </c>
      <c r="F69" t="s">
        <v>129</v>
      </c>
      <c r="G69" t="s">
        <v>36</v>
      </c>
      <c r="H69" t="s">
        <v>259</v>
      </c>
      <c r="I69">
        <v>18</v>
      </c>
      <c r="J69">
        <v>8</v>
      </c>
      <c r="K69" s="4">
        <v>724369</v>
      </c>
      <c r="L69" t="s">
        <v>26</v>
      </c>
      <c r="M69" t="s">
        <v>131</v>
      </c>
      <c r="N69" t="s">
        <v>515</v>
      </c>
      <c r="O69">
        <v>67</v>
      </c>
      <c r="P69" t="s">
        <v>516</v>
      </c>
      <c r="Q69" s="5" t="str">
        <f t="shared" si="4"/>
        <v>https://www.bigbuy.eu/fr/shop/product/service-de-vaisselle-dem-20-pieces-multicouleur-pique-nique-12-unites_724369</v>
      </c>
      <c r="R69" t="s">
        <v>173</v>
      </c>
    </row>
    <row r="70" ht="15" customHeight="1">
      <c r="A70" t="s">
        <v>517</v>
      </c>
      <c r="B70">
        <v>55</v>
      </c>
      <c r="C70" t="s">
        <v>518</v>
      </c>
      <c r="D70" t="s">
        <v>317</v>
      </c>
      <c r="E70" t="s">
        <v>519</v>
      </c>
      <c r="F70" t="s">
        <v>129</v>
      </c>
      <c r="G70" t="s">
        <v>36</v>
      </c>
      <c r="H70" t="s">
        <v>520</v>
      </c>
      <c r="I70">
        <v>55</v>
      </c>
      <c r="J70">
        <v>25</v>
      </c>
      <c r="K70" s="6">
        <v>1256315</v>
      </c>
      <c r="L70" t="s">
        <v>26</v>
      </c>
      <c r="M70" t="s">
        <v>131</v>
      </c>
      <c r="N70" t="s">
        <v>320</v>
      </c>
      <c r="O70">
        <v>68</v>
      </c>
      <c r="P70" t="s">
        <v>521</v>
      </c>
      <c r="Q70" s="7" t="str">
        <f>HYPERLINK("https://www.bigbuy.eu/fr/shop/product/valise-cabine-wednesday_1256315","https://www.bigbuy.eu/fr/shop/product/valise-cabine-wednesday_1256315")</f>
        <v>https://www.bigbuy.eu/fr/shop/product/valise-cabine-wednesday_1256315</v>
      </c>
      <c r="R70" t="s">
        <v>135</v>
      </c>
    </row>
    <row r="71" ht="15" customHeight="1">
      <c r="A71" t="s">
        <v>523</v>
      </c>
      <c r="B71">
        <v>60</v>
      </c>
      <c r="C71" t="s">
        <v>524</v>
      </c>
      <c r="D71" t="s">
        <v>71</v>
      </c>
      <c r="E71" t="s">
        <v>525</v>
      </c>
      <c r="F71" t="s">
        <v>526</v>
      </c>
      <c r="G71" t="s">
        <v>36</v>
      </c>
      <c r="H71" t="s">
        <v>527</v>
      </c>
      <c r="I71">
        <v>10</v>
      </c>
      <c r="J71">
        <v>4</v>
      </c>
      <c r="K71" s="4">
        <v>262645</v>
      </c>
      <c r="L71" t="s">
        <v>26</v>
      </c>
      <c r="M71" t="s">
        <v>131</v>
      </c>
      <c r="N71" t="s">
        <v>528</v>
      </c>
      <c r="O71">
        <v>69</v>
      </c>
      <c r="P71" t="s">
        <v>529</v>
      </c>
      <c r="Q71" s="5" t="str">
        <f>HYPERLINK("https://www.bigbuy.eu/fr/shop/product/creme-solaire-avec-couleur-shiseido-30-ml-beige-spf-50_262645","https://www.bigbuy.eu/fr/shop/product/creme-solaire-avec-couleur-shiseido-30-ml-beige-spf-50_262645")</f>
        <v>https://www.bigbuy.eu/fr/shop/product/creme-solaire-avec-couleur-shiseido-30-ml-beige-spf-50_262645</v>
      </c>
      <c r="R71" t="s">
        <v>180</v>
      </c>
    </row>
    <row r="72" ht="15" customHeight="1">
      <c r="A72" t="s">
        <v>531</v>
      </c>
      <c r="B72">
        <v>56</v>
      </c>
      <c r="C72" t="s">
        <v>532</v>
      </c>
      <c r="D72" t="s">
        <v>90</v>
      </c>
      <c r="E72" t="s">
        <v>533</v>
      </c>
      <c r="F72" t="s">
        <v>129</v>
      </c>
      <c r="G72" t="s">
        <v>36</v>
      </c>
      <c r="H72" t="s">
        <v>57</v>
      </c>
      <c r="I72">
        <v>16</v>
      </c>
      <c r="J72">
        <v>7</v>
      </c>
      <c r="K72">
        <v>1109060</v>
      </c>
      <c r="L72" s="10" t="s">
        <v>26</v>
      </c>
      <c r="M72" t="s">
        <v>131</v>
      </c>
      <c r="N72" t="s">
        <v>534</v>
      </c>
      <c r="O72">
        <v>70</v>
      </c>
      <c r="P72" t="s">
        <v>384</v>
      </c>
      <c r="Q72" s="11" t="str">
        <f t="shared" si="5"/>
        <v>https://www.bigbuy.eu/fr/shop/product/sac-banane-osprey-os1-175-1-l-xl-noir_1109060</v>
      </c>
      <c r="R72" t="s">
        <v>488</v>
      </c>
    </row>
    <row r="73" ht="15" customHeight="1">
      <c r="A73" t="s">
        <v>535</v>
      </c>
      <c r="B73">
        <v>56</v>
      </c>
      <c r="C73" t="s">
        <v>536</v>
      </c>
      <c r="D73" t="s">
        <v>108</v>
      </c>
      <c r="E73" t="s">
        <v>537</v>
      </c>
      <c r="F73" t="s">
        <v>129</v>
      </c>
      <c r="G73" t="s">
        <v>36</v>
      </c>
      <c r="H73" t="s">
        <v>538</v>
      </c>
      <c r="I73">
        <v>18</v>
      </c>
      <c r="J73">
        <v>8</v>
      </c>
      <c r="K73">
        <v>396575</v>
      </c>
      <c r="L73" s="10" t="s">
        <v>26</v>
      </c>
      <c r="M73" t="s">
        <v>131</v>
      </c>
      <c r="N73" t="s">
        <v>539</v>
      </c>
      <c r="O73">
        <v>71</v>
      </c>
      <c r="P73" t="s">
        <v>540</v>
      </c>
      <c r="Q73" s="12" t="str">
        <f>HYPERLINK("https://www.bigbuy.eu/fr/shop/product/sac-de-couchage-pour-bebe-domiva-lapinou-0-6-mois-coton-70-cm_396575","https://www.bigbuy.eu/fr/shop/product/sac-de-couchage-pour-bebe-domiva-lapinou-0-6-mois-coton-70-cm_396575")</f>
        <v>https://www.bigbuy.eu/fr/shop/product/sac-de-couchage-pour-bebe-domiva-lapinou-0-6-mois-coton-70-cm_396575</v>
      </c>
      <c r="R73" t="s">
        <v>204</v>
      </c>
    </row>
    <row r="74" ht="15" customHeight="1">
      <c r="A74" t="s">
        <v>542</v>
      </c>
      <c r="B74">
        <v>55</v>
      </c>
      <c r="C74" t="s">
        <v>543</v>
      </c>
      <c r="D74" t="s">
        <v>271</v>
      </c>
      <c r="E74" t="s">
        <v>544</v>
      </c>
      <c r="F74" t="s">
        <v>129</v>
      </c>
      <c r="G74" t="s">
        <v>23</v>
      </c>
      <c r="H74" t="s">
        <v>545</v>
      </c>
      <c r="I74">
        <v>40</v>
      </c>
      <c r="J74">
        <v>18</v>
      </c>
      <c r="K74">
        <v>1277711</v>
      </c>
      <c r="L74" s="10" t="s">
        <v>26</v>
      </c>
      <c r="M74" t="s">
        <v>131</v>
      </c>
      <c r="N74" t="s">
        <v>546</v>
      </c>
      <c r="O74">
        <v>72</v>
      </c>
      <c r="P74" t="s">
        <v>547</v>
      </c>
      <c r="Q74" s="11" t="str">
        <f t="shared" si="0"/>
        <v>https://www.bigbuy.eu/fr/shop/product/sac-a-bandouliere-reebok-tech-style-city_1277711</v>
      </c>
      <c r="R74" t="s">
        <v>212</v>
      </c>
    </row>
    <row r="75" ht="15" customHeight="1">
      <c r="A75" t="s">
        <v>548</v>
      </c>
      <c r="B75">
        <v>56</v>
      </c>
      <c r="C75" t="s">
        <v>549</v>
      </c>
      <c r="D75" t="s">
        <v>20</v>
      </c>
      <c r="E75" t="s">
        <v>550</v>
      </c>
      <c r="F75" t="s">
        <v>129</v>
      </c>
      <c r="G75" t="s">
        <v>36</v>
      </c>
      <c r="H75" t="s">
        <v>57</v>
      </c>
      <c r="I75">
        <v>18</v>
      </c>
      <c r="J75">
        <v>8</v>
      </c>
      <c r="K75" s="4">
        <v>818983</v>
      </c>
      <c r="L75" s="4" t="s">
        <v>26</v>
      </c>
      <c r="M75" t="s">
        <v>131</v>
      </c>
      <c r="N75" t="s">
        <v>551</v>
      </c>
      <c r="O75">
        <v>74</v>
      </c>
      <c r="P75" t="s">
        <v>552</v>
      </c>
      <c r="Q75" s="5" t="str">
        <f>HYPERLINK("https://www.bigbuy.eu/fr/shop/product/lampe-torche-led-rechargeable-nebo-davinci-1000-1000-lm_818983","https://www.bigbuy.eu/fr/shop/product/lampe-torche-led-rechargeable-nebo-davinci-1000-1000-lm_818983")</f>
        <v>https://www.bigbuy.eu/fr/shop/product/lampe-torche-led-rechargeable-nebo-davinci-1000-1000-lm_818983</v>
      </c>
      <c r="R75" t="s">
        <v>173</v>
      </c>
    </row>
    <row r="76" ht="15" customHeight="1">
      <c r="A76" t="s">
        <v>554</v>
      </c>
      <c r="B76">
        <v>55</v>
      </c>
      <c r="C76" t="s">
        <v>175</v>
      </c>
      <c r="D76" t="s">
        <v>127</v>
      </c>
      <c r="E76" t="s">
        <v>555</v>
      </c>
      <c r="F76" t="s">
        <v>129</v>
      </c>
      <c r="G76" t="s">
        <v>23</v>
      </c>
      <c r="H76" t="s">
        <v>57</v>
      </c>
      <c r="I76">
        <v>22</v>
      </c>
      <c r="J76">
        <v>10</v>
      </c>
      <c r="K76" s="6">
        <v>1193960</v>
      </c>
      <c r="L76" t="s">
        <v>26</v>
      </c>
      <c r="M76" t="s">
        <v>131</v>
      </c>
      <c r="N76" t="s">
        <v>556</v>
      </c>
      <c r="O76">
        <v>75</v>
      </c>
      <c r="P76" t="s">
        <v>557</v>
      </c>
      <c r="Q76" s="7" t="str">
        <f>HYPERLINK("https://www.bigbuy.eu/fr/shop/product/lampe-torche-acebeam-p20-black-sft-90x-50-lm-5600-lm_1193960","https://www.bigbuy.eu/fr/shop/product/lampe-torche-acebeam-p20-black-sft-90x-50-lm-5600-lm_1193960")</f>
        <v>https://www.bigbuy.eu/fr/shop/product/lampe-torche-acebeam-p20-black-sft-90x-50-lm-5600-lm_1193960</v>
      </c>
      <c r="R76" t="s">
        <v>219</v>
      </c>
    </row>
    <row r="77" ht="15" customHeight="1">
      <c r="A77" t="s">
        <v>559</v>
      </c>
      <c r="B77">
        <v>56</v>
      </c>
      <c r="C77" t="s">
        <v>560</v>
      </c>
      <c r="D77" t="s">
        <v>561</v>
      </c>
      <c r="E77" t="s">
        <v>562</v>
      </c>
      <c r="F77" t="s">
        <v>129</v>
      </c>
      <c r="G77" t="s">
        <v>36</v>
      </c>
      <c r="H77" t="s">
        <v>352</v>
      </c>
      <c r="I77">
        <v>18</v>
      </c>
      <c r="J77">
        <v>8</v>
      </c>
      <c r="K77" s="4">
        <v>905762</v>
      </c>
      <c r="L77" t="s">
        <v>26</v>
      </c>
      <c r="M77" t="s">
        <v>131</v>
      </c>
      <c r="N77" t="s">
        <v>302</v>
      </c>
      <c r="O77">
        <v>76</v>
      </c>
      <c r="P77" t="s">
        <v>563</v>
      </c>
      <c r="Q77" s="5" t="str">
        <f t="shared" si="6"/>
        <v>https://www.bigbuy.eu/fr/shop/product/sac-a-dos-de-randonnee-safta-trekking-gris-25-l-30-x-52-x-16-cm_905762</v>
      </c>
      <c r="R77" t="s">
        <v>564</v>
      </c>
    </row>
    <row r="78" ht="15" customHeight="1">
      <c r="A78" t="s">
        <v>565</v>
      </c>
      <c r="B78">
        <v>63</v>
      </c>
      <c r="C78" t="s">
        <v>566</v>
      </c>
      <c r="D78" t="s">
        <v>222</v>
      </c>
      <c r="E78" t="s">
        <v>567</v>
      </c>
      <c r="F78" t="s">
        <v>129</v>
      </c>
      <c r="G78" t="s">
        <v>23</v>
      </c>
      <c r="H78" t="s">
        <v>568</v>
      </c>
      <c r="I78">
        <v>8</v>
      </c>
      <c r="J78">
        <v>3</v>
      </c>
      <c r="K78">
        <v>1091304</v>
      </c>
      <c r="L78" s="10" t="s">
        <v>26</v>
      </c>
      <c r="M78" t="s">
        <v>131</v>
      </c>
      <c r="N78" t="s">
        <v>407</v>
      </c>
      <c r="O78">
        <v>77</v>
      </c>
      <c r="P78" t="s">
        <v>569</v>
      </c>
      <c r="Q78" s="11" t="str">
        <f t="shared" si="7"/>
        <v>https://www.bigbuy.eu/fr/shop/product/bouteille-filtrante-brita-1052250-bleu-fonce_1091304</v>
      </c>
      <c r="R78" t="s">
        <v>496</v>
      </c>
    </row>
    <row r="79" ht="15" customHeight="1">
      <c r="A79" t="s">
        <v>570</v>
      </c>
      <c r="B79">
        <v>56</v>
      </c>
      <c r="C79" t="s">
        <v>571</v>
      </c>
      <c r="D79" t="s">
        <v>99</v>
      </c>
      <c r="E79" t="s">
        <v>572</v>
      </c>
      <c r="F79" t="s">
        <v>129</v>
      </c>
      <c r="G79" t="s">
        <v>23</v>
      </c>
      <c r="H79" t="s">
        <v>573</v>
      </c>
      <c r="I79">
        <v>45</v>
      </c>
      <c r="J79">
        <v>20</v>
      </c>
      <c r="K79">
        <v>1285218</v>
      </c>
      <c r="L79" s="10" t="s">
        <v>26</v>
      </c>
      <c r="M79" t="s">
        <v>131</v>
      </c>
      <c r="N79" t="s">
        <v>574</v>
      </c>
      <c r="O79">
        <v>78</v>
      </c>
      <c r="P79" t="s">
        <v>575</v>
      </c>
      <c r="Q79" s="12" t="str">
        <f>HYPERLINK("https://www.bigbuy.eu/fr/shop/product/bouteille-d-eau-spider-man-410-ml_1285218","https://www.bigbuy.eu/fr/shop/product/bouteille-d-eau-spider-man-410-ml_1285218")</f>
        <v>https://www.bigbuy.eu/fr/shop/product/bouteille-d-eau-spider-man-410-ml_1285218</v>
      </c>
      <c r="R79" t="s">
        <v>511</v>
      </c>
    </row>
    <row r="80" ht="15" customHeight="1">
      <c r="A80" t="s">
        <v>577</v>
      </c>
      <c r="B80">
        <v>57</v>
      </c>
      <c r="C80" t="s">
        <v>578</v>
      </c>
      <c r="D80" t="s">
        <v>127</v>
      </c>
      <c r="E80" t="s">
        <v>579</v>
      </c>
      <c r="F80" t="s">
        <v>129</v>
      </c>
      <c r="G80" t="s">
        <v>23</v>
      </c>
      <c r="H80" t="s">
        <v>245</v>
      </c>
      <c r="I80">
        <v>14</v>
      </c>
      <c r="J80">
        <v>6</v>
      </c>
      <c r="K80">
        <v>1228356</v>
      </c>
      <c r="L80" s="10" t="s">
        <v>26</v>
      </c>
      <c r="M80" t="s">
        <v>131</v>
      </c>
      <c r="N80" t="s">
        <v>177</v>
      </c>
      <c r="O80">
        <v>79</v>
      </c>
      <c r="P80" t="s">
        <v>580</v>
      </c>
      <c r="Q80" s="11" t="str">
        <f t="shared" si="8"/>
        <v>https://www.bigbuy.eu/fr/shop/product/couteau-opinel-no8-acier-inoxydable-8-cm_1228356</v>
      </c>
      <c r="R80" t="s">
        <v>348</v>
      </c>
    </row>
    <row r="81" ht="15" customHeight="1">
      <c r="A81" t="s">
        <v>581</v>
      </c>
      <c r="B81">
        <v>58</v>
      </c>
      <c r="C81" t="s">
        <v>582</v>
      </c>
      <c r="D81" t="s">
        <v>90</v>
      </c>
      <c r="E81" t="s">
        <v>583</v>
      </c>
      <c r="F81" t="s">
        <v>129</v>
      </c>
      <c r="G81" t="s">
        <v>36</v>
      </c>
      <c r="H81" t="s">
        <v>584</v>
      </c>
      <c r="I81">
        <v>12</v>
      </c>
      <c r="J81">
        <v>5</v>
      </c>
      <c r="K81">
        <v>120241</v>
      </c>
      <c r="L81" s="10" t="s">
        <v>26</v>
      </c>
      <c r="M81" t="s">
        <v>131</v>
      </c>
      <c r="N81" t="s">
        <v>585</v>
      </c>
      <c r="O81">
        <v>80</v>
      </c>
      <c r="P81" t="s">
        <v>586</v>
      </c>
      <c r="Q81" s="12" t="str">
        <f>HYPERLINK("https://www.bigbuy.eu/en/shop/product/suitcase-organiser-bag-set-luggan-innovagoods-6-pieces_120241","https://www.bigbuy.eu/en/shop/product/suitcase-organiser-bag-set-luggan-innovagoods-6-pieces_120241")</f>
        <v>https://www.bigbuy.eu/en/shop/product/suitcase-organiser-bag-set-luggan-innovagoods-6-pieces_120241</v>
      </c>
      <c r="R81" t="s">
        <v>180</v>
      </c>
    </row>
  </sheetData>
  <hyperlinks>
    <hyperlink ref="Q10" r:id="rId1" display="https://www.bigbuy.eu/fr/shop/product/bouteille-pulverisatrice-inoxibar-61126_1185619"/>
    <hyperlink ref="Q13" r:id="rId2" display="https://www.bigbuy.eu/fr/shop/product/sac-a-dos-de-randonnee-deuter-ac-lite-28-l_811846"/>
    <hyperlink ref="Q14" r:id="rId3" display="https://www.bigbuy.eu/fr/shop/product/baton-trekking-aktive-5-3-x-135-x-5-3-cm_1300701"/>
    <hyperlink ref="Q15" r:id="rId4" display="https://www.bigbuy.eu/fr/shop/product/magasin-de-campagne-bestway-multicouleur-210-x-138-x-240-cm_1091707"/>
    <hyperlink ref="Q16" r:id="rId5" display="https://www.bigbuy.eu/fr/shop/product/sac-de-couchage-pour-bebe-domiva-au-fil-de-l-eau_1035706"/>
    <hyperlink ref="Q17" r:id="rId6" display="https://www.bigbuy.eu/fr/shop/product/matelas-gonflable-bestway-floral-183-x-69-cm_878949"/>
    <hyperlink ref="Q18" r:id="rId7" display="https://www.bigbuy.eu/fr/shop/product/bouteille-d-eau-picture-acc121-a-blanc-naturel-acier_1277709"/>
    <hyperlink ref="Q19" r:id="rId8" display="https://www.bigbuy.eu/fr/shop/product/couteau-opinel-no8-acier-inoxydable-8-cm_1228356"/>
    <hyperlink ref="Q20" r:id="rId9" display="https://www.bigbuy.eu/fr/shop/product/trousse-de-premiers-secours-michelin-9531-44-pieces_807382"/>
    <hyperlink ref="Q21" r:id="rId10" display="https://www.bigbuy.eu/fr/shop/product/chauffe-pieds-edm-07487-07487-marron-180-x-130-cm_412861"/>
    <hyperlink ref="Q22" r:id="rId11" display="https://www.bigbuy.eu/fr/shop/product/baton-trekking-black-diamond-bd110045-noir_1213510"/>
    <hyperlink ref="Q23" r:id="rId12" display="https://www.bigbuy.eu/fr/shop/product/baton-trekking-leki-65221191_1213514"/>
    <hyperlink ref="Q24" r:id="rId13" display="https://www.bigbuy.eu/fr/shop/product/navigateur-gps-garmin-gt20-gm_924718"/>
    <hyperlink ref="Q25" r:id="rId14" display="https://www.bigbuy.eu/en/shop/product/powerbank-energizer-eqm010002pq-bk-ml-black-10000-mah_1177083"/>
    <hyperlink ref="Q26" r:id="rId15" display="https://www.bigbuy.eu/fr/shop/product/lampe-solaire-galix-30-lm-acier-inoxydable_428470"/>
    <hyperlink ref="Q27" r:id="rId16" display="https://www.bigbuy.eu/fr/shop/product/bracelet-anti-moustiques-a-ultrasons-rechargeable-banic-innovagoods_144842"/>
    <hyperlink ref="Q28" r:id="rId17" display="https://www.bigbuy.eu/fr/shop/product/rechaud-a-gaz-open-norte-bs102-comgas_1268867"/>
    <hyperlink ref="Q29" r:id="rId18" display="https://www.bigbuy.eu/fr/shop/product/baton-trekking-black-diamond-bd110065-pourpre_1213513"/>
    <hyperlink ref="Q30" r:id="rId19" display="https://www.bigbuy.eu/fr/shop/product/service-de-vaisselle-dem-20-pieces-multicouleur-pique-nique-12-unites_724369"/>
    <hyperlink ref="Q31" r:id="rId20" display="https://www.bigbuy.eu/fr/shop/product/sac-a-bandouliere-reebok-tech-style-city_1277711"/>
    <hyperlink ref="Q33" r:id="rId21" display="https://www.bigbuy.eu/fr/shop/product/gant-omp-tazio-marron-s-vintage-1-unites_833755"/>
    <hyperlink ref="Q34" r:id="rId22" display="https://www.bigbuy.eu/fr/shop/product/etui-port-designs-180113_1222683"/>
    <hyperlink ref="Q35" r:id="rId23" display="https://www.bigbuy.eu/fr/shop/product/baton-trekking-viking-650-21-4563-08-105-noir-gris_1109057"/>
    <hyperlink ref="Q36" r:id="rId24" display="https://www.bigbuy.eu/fr/shop/product/porte-bebe-infantino-hug-cuddle-0-mois_1035428"/>
    <hyperlink ref="Q37" r:id="rId25" display="https://www.bigbuy.eu/en/shop/product/foldable-camping-chair-aktive-2-units_979557"/>
    <hyperlink ref="Q38" r:id="rId26" display="https://www.bigbuy.eu/fr/shop/product/valise-cabine-american-tourister-155260-1598-bleu_1140735"/>
    <hyperlink ref="Q39" r:id="rId27" display="https://www.bigbuy.eu/fr/shop/product/lingettes-impregnees-elka-pieterman-1110000036_1249055"/>
    <hyperlink ref="Q40" r:id="rId28" display="https://www.bigbuy.eu/fr/shop/product/detergent-liquide-irs-citronella-750-ml_1237204"/>
    <hyperlink ref="Q41" r:id="rId29" display="https://www.bigbuy.eu/fr/shop/product/rasoir-pour-le-corps-braun-series-3-300s_353949"/>
    <hyperlink ref="Q42" r:id="rId30" display="https://www.bigbuy.eu/fr/shop/product/casquette-enfant-omp-omppr918c020_804675"/>
    <hyperlink ref="Q43" r:id="rId31" display="https://www.bigbuy.eu/fr/shop/product/sac-a-dos-de-randonnee-safta-trekking-gris-25-l-30-x-52-x-16-cm_905762"/>
    <hyperlink ref="Q44" r:id="rId32" display="https://www.bigbuy.eu/fr/shop/product/sac-a-dos-de-randonnee-deuter-ac-lite-vert-16-l_811889"/>
    <hyperlink ref="Q45" r:id="rId33" display="https://www.bigbuy.eu/fr/shop/product/sac-a-bandouliere-reebok-tech-style-city_1277711"/>
    <hyperlink ref="Q46" r:id="rId34" display="https://www.bigbuy.eu/fr/shop/product/valise-cabine-harper-neyer-blue-marine-20-20-l-34-5-x-55-x-20-cm_1101476"/>
    <hyperlink ref="Q47" r:id="rId35" display="https://www.bigbuy.eu/fr/shop/product/chargeur-piles-rechargeables-duracell-3-unites_1235033"/>
    <hyperlink ref="Q48" r:id="rId36" display="https://www.bigbuy.eu/fr/shop/product/sac-banane-osprey-os1-175-1-l-xl-noir_1109060"/>
    <hyperlink ref="Q49" r:id="rId37" display="https://www.bigbuy.eu/fr/shop/product/tasse-thermos-avec-couvercle-f-c-barcelona-blue-marine-acier-inoxydable_1093084"/>
    <hyperlink ref="Q50" r:id="rId38" display="https://www.bigbuy.eu/fr/shop/product/compas-a-charniere-a-pointes-vogel-250-mm_1231471"/>
    <hyperlink ref="Q51" r:id="rId39" display="https://www.bigbuy.eu/fr/shop/product/sifflet-gloria-level2-argente_1099940"/>
    <hyperlink ref="Q52" r:id="rId40" display="https://www.bigbuy.eu/fr/shop/product/bouteille-filtrante-brita-1052250-bleu-fonce_1091304"/>
    <hyperlink ref="Q53" r:id="rId41" display="https://www.bigbuy.eu/fr/shop/product/lampe-torche-led-retlux_1153156"/>
    <hyperlink ref="Q54" r:id="rId42" display="https://www.bigbuy.eu/fr/shop/product/sac-a-dos-de-randonnee-deuter-ac-lite-28-l_811846"/>
    <hyperlink ref="Q55" r:id="rId43" display="https://www.bigbuy.eu/fr/shop/product/magasin-de-campagne-bestway-multicouleur-127-x-125-x-240-cm_1091688"/>
    <hyperlink ref="Q56" r:id="rId44" display="https://www.bigbuy.eu/fr/shop/product/magasin-de-campagne-bestway-multicouleur-210-x-138-x-240-cm_1091707"/>
    <hyperlink ref="Q57" r:id="rId45" display="https://www.bigbuy.eu/fr/shop/product/sac-de-couchage-pour-bebe-tineo-summer-tifruits-6-mois-coton_818850"/>
    <hyperlink ref="Q58" r:id="rId46" display="https://www.bigbuy.eu/fr/shop/product/chaussettes-de-sport-puma-quarter-plain-3p-701230337-882-gris-3-paires_1145990"/>
    <hyperlink ref="Q59" r:id="rId47" display="https://www.bigbuy.eu/fr/shop/product/modeles-sport-blanc-coton-plastique-latex-9-5-x-29-5-cm-11-5-x-0-5-x-36-cm-12-unites_631199"/>
    <hyperlink ref="Q60" r:id="rId48" display="https://www.bigbuy.eu/fr/shop/product/trousse-de-premiers-secours-kerbl_1063551"/>
    <hyperlink ref="Q61" r:id="rId49" display="https://www.bigbuy.eu/fr/shop/product/gel-hydroalcoolique-kn95-masque_381317"/>
    <hyperlink ref="Q62" r:id="rId50" display="https://www.bigbuy.eu/fr/shop/product/colliers-de-cable-jokari-system-4-70-no-70_1224548"/>
    <hyperlink ref="Q65" r:id="rId51" display="https://www.bigbuy.eu/fr/shop/product/lunettes-de-soleil-julbo-j5011221_1206601"/>
    <hyperlink ref="Q66" r:id="rId52" display="https://www.bigbuy.eu/fr/shop/product/couteau-workpro_1249218"/>
    <hyperlink ref="Q67" r:id="rId53" display="https://www.bigbuy.eu/fr/shop/product/baton-trekking-aktive-5-3-x-135-x-5-3-cm_1300701"/>
    <hyperlink ref="Q68" r:id="rId54" display="https://www.bigbuy.eu/fr/shop/product/tente-de-plage-aktive-polyester-220-x-115-x-120-cm_979545"/>
    <hyperlink ref="Q69" r:id="rId55" display="https://www.bigbuy.eu/fr/shop/product/service-de-vaisselle-dem-20-pieces-multicouleur-pique-nique-12-unites_724369"/>
    <hyperlink ref="Q70" r:id="rId56" display="https://www.bigbuy.eu/fr/shop/product/valise-cabine-wednesday_1256315"/>
    <hyperlink ref="Q71" r:id="rId57" display="https://www.bigbuy.eu/fr/shop/product/creme-solaire-avec-couleur-shiseido-30-ml-beige-spf-50_262645"/>
    <hyperlink ref="Q72" r:id="rId58" display="https://www.bigbuy.eu/fr/shop/product/sac-banane-osprey-os1-175-1-l-xl-noir_1109060"/>
    <hyperlink ref="Q73" r:id="rId59" display="https://www.bigbuy.eu/fr/shop/product/sac-de-couchage-pour-bebe-domiva-lapinou-0-6-mois-coton-70-cm_396575"/>
    <hyperlink ref="Q74" r:id="rId60" display="https://www.bigbuy.eu/fr/shop/product/sac-a-bandouliere-reebok-tech-style-city_1277711"/>
    <hyperlink ref="Q75" r:id="rId61" display="https://www.bigbuy.eu/fr/shop/product/lampe-torche-led-rechargeable-nebo-davinci-1000-1000-lm_818983"/>
    <hyperlink ref="Q76" r:id="rId62" display="https://www.bigbuy.eu/fr/shop/product/lampe-torche-acebeam-p20-black-sft-90x-50-lm-5600-lm_1193960"/>
    <hyperlink ref="Q77" r:id="rId63" display="https://www.bigbuy.eu/fr/shop/product/sac-a-dos-de-randonnee-safta-trekking-gris-25-l-30-x-52-x-16-cm_905762"/>
    <hyperlink ref="Q78" r:id="rId64" display="https://www.bigbuy.eu/fr/shop/product/bouteille-filtrante-brita-1052250-bleu-fonce_1091304"/>
    <hyperlink ref="Q79" r:id="rId65" display="https://www.bigbuy.eu/fr/shop/product/bouteille-d-eau-spider-man-410-ml_1285218"/>
    <hyperlink ref="Q80" r:id="rId66" display="https://www.bigbuy.eu/fr/shop/product/couteau-opinel-no8-acier-inoxydable-8-cm_1228356"/>
    <hyperlink ref="Q81" r:id="rId67" display="https://www.bigbuy.eu/en/shop/product/suitcase-organiser-bag-set-luggan-innovagoods-6-pieces_120241"/>
  </hyperlink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tableParts count="1">
    <tablePart r:id="rId68"/>
  </tableParts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2026-07-28T00:14:30Z</dcterms:created>
  <dcterms:modified xsi:type="dcterms:W3CDTF">2026-07-28T00:14:30Z</dcterms:modified>
</cp:coreProperties>
</file>